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DA944126-0189-4B5B-928E-643A90941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2" i="1" l="1"/>
  <c r="C114" i="1"/>
  <c r="C109" i="1"/>
  <c r="C105" i="1"/>
  <c r="C54" i="1" l="1"/>
  <c r="C49" i="1"/>
  <c r="C107" i="1"/>
  <c r="C106" i="1"/>
  <c r="C46" i="1"/>
  <c r="C47" i="1"/>
  <c r="C45" i="1"/>
  <c r="C102" i="1"/>
  <c r="C103" i="1"/>
  <c r="C101" i="1"/>
  <c r="C50" i="1" l="1"/>
  <c r="C51" i="1"/>
  <c r="C52" i="1" s="1"/>
  <c r="C59" i="1" s="1"/>
  <c r="C110" i="1"/>
  <c r="C111" i="1"/>
  <c r="F120" i="1" s="1"/>
  <c r="F114" i="1"/>
  <c r="C115" i="1"/>
  <c r="F119" i="1"/>
  <c r="C120" i="1"/>
  <c r="I115" i="1" l="1"/>
  <c r="C119" i="1"/>
  <c r="F115" i="1"/>
  <c r="C123" i="1" s="1"/>
  <c r="I114" i="1"/>
  <c r="C124" i="1" s="1"/>
  <c r="C126" i="1"/>
  <c r="E59" i="1"/>
  <c r="D59" i="1"/>
  <c r="C55" i="1"/>
  <c r="C60" i="1" s="1"/>
  <c r="C63" i="1" s="1"/>
  <c r="C56" i="1"/>
  <c r="C61" i="1" s="1"/>
  <c r="C125" i="1"/>
  <c r="D60" i="1" l="1"/>
  <c r="E60" i="1"/>
  <c r="D61" i="1"/>
  <c r="C64" i="1" s="1"/>
  <c r="E61" i="1"/>
  <c r="C65" i="1" l="1"/>
</calcChain>
</file>

<file path=xl/sharedStrings.xml><?xml version="1.0" encoding="utf-8"?>
<sst xmlns="http://schemas.openxmlformats.org/spreadsheetml/2006/main" count="152" uniqueCount="81">
  <si>
    <t>Шкала Харрингтона</t>
  </si>
  <si>
    <t>Место</t>
  </si>
  <si>
    <t>М1</t>
  </si>
  <si>
    <t>М2</t>
  </si>
  <si>
    <t>М3</t>
  </si>
  <si>
    <t>М4</t>
  </si>
  <si>
    <t>М6</t>
  </si>
  <si>
    <t>Близость 1(сырье)</t>
  </si>
  <si>
    <t>Близость 2(потребитель)</t>
  </si>
  <si>
    <t>Затраты</t>
  </si>
  <si>
    <t>P j</t>
  </si>
  <si>
    <t>P i</t>
  </si>
  <si>
    <t>P1</t>
  </si>
  <si>
    <t>P2</t>
  </si>
  <si>
    <t>P3</t>
  </si>
  <si>
    <t>R1</t>
  </si>
  <si>
    <t>R2</t>
  </si>
  <si>
    <t>R3</t>
  </si>
  <si>
    <t>R</t>
  </si>
  <si>
    <t>W1</t>
  </si>
  <si>
    <t>W2</t>
  </si>
  <si>
    <t>W3</t>
  </si>
  <si>
    <t>Ei1</t>
  </si>
  <si>
    <t>Ei2</t>
  </si>
  <si>
    <t>E1j</t>
  </si>
  <si>
    <t>E2j</t>
  </si>
  <si>
    <t>E3j</t>
  </si>
  <si>
    <t>E1</t>
  </si>
  <si>
    <t>E2</t>
  </si>
  <si>
    <t>Эксперт1</t>
  </si>
  <si>
    <t>V1</t>
  </si>
  <si>
    <t>V2</t>
  </si>
  <si>
    <t>V3</t>
  </si>
  <si>
    <t>S1</t>
  </si>
  <si>
    <t>S2</t>
  </si>
  <si>
    <t>S3</t>
  </si>
  <si>
    <t>C1</t>
  </si>
  <si>
    <t>C2</t>
  </si>
  <si>
    <t>C3</t>
  </si>
  <si>
    <t>D2</t>
  </si>
  <si>
    <t>D3</t>
  </si>
  <si>
    <t>D1</t>
  </si>
  <si>
    <t>М1-М2</t>
  </si>
  <si>
    <t>М2-М3</t>
  </si>
  <si>
    <t>D4</t>
  </si>
  <si>
    <t>М3-М4</t>
  </si>
  <si>
    <t>D6</t>
  </si>
  <si>
    <t>М4-М6</t>
  </si>
  <si>
    <t>М6-М1</t>
  </si>
  <si>
    <r>
      <t>D</t>
    </r>
    <r>
      <rPr>
        <sz val="8"/>
        <color theme="1"/>
        <rFont val="Calibri"/>
        <family val="2"/>
        <charset val="204"/>
        <scheme val="minor"/>
      </rPr>
      <t>12</t>
    </r>
  </si>
  <si>
    <r>
      <t>D</t>
    </r>
    <r>
      <rPr>
        <sz val="8"/>
        <color theme="1"/>
        <rFont val="Calibri"/>
        <family val="2"/>
        <charset val="204"/>
        <scheme val="minor"/>
      </rPr>
      <t>23</t>
    </r>
    <r>
      <rPr>
        <sz val="11"/>
        <color theme="1"/>
        <rFont val="Calibri"/>
        <family val="2"/>
        <charset val="204"/>
        <scheme val="minor"/>
      </rPr>
      <t/>
    </r>
  </si>
  <si>
    <r>
      <t>D</t>
    </r>
    <r>
      <rPr>
        <sz val="8"/>
        <color theme="1"/>
        <rFont val="Calibri"/>
        <family val="2"/>
        <charset val="204"/>
        <scheme val="minor"/>
      </rPr>
      <t>34</t>
    </r>
    <r>
      <rPr>
        <sz val="11"/>
        <color theme="1"/>
        <rFont val="Calibri"/>
        <family val="2"/>
        <charset val="204"/>
        <scheme val="minor"/>
      </rPr>
      <t/>
    </r>
  </si>
  <si>
    <r>
      <t>D</t>
    </r>
    <r>
      <rPr>
        <sz val="8"/>
        <color theme="1"/>
        <rFont val="Calibri"/>
        <family val="2"/>
        <charset val="204"/>
        <scheme val="minor"/>
      </rPr>
      <t>46</t>
    </r>
  </si>
  <si>
    <r>
      <t>D</t>
    </r>
    <r>
      <rPr>
        <sz val="8"/>
        <color theme="1"/>
        <rFont val="Calibri"/>
        <family val="2"/>
        <charset val="204"/>
        <scheme val="minor"/>
      </rPr>
      <t>61</t>
    </r>
  </si>
  <si>
    <t>комплексная оценка альтернатив</t>
  </si>
  <si>
    <t>методика скаляризации векторов</t>
  </si>
  <si>
    <t>метод экспресс-анализа</t>
  </si>
  <si>
    <t>Безразмерные оценки</t>
  </si>
  <si>
    <t>пороговое значение минимальной оценки</t>
  </si>
  <si>
    <t>велечины разброса</t>
  </si>
  <si>
    <t>средние оценки</t>
  </si>
  <si>
    <t>веса</t>
  </si>
  <si>
    <t>взвешенные безразмерные оценки альтернатив</t>
  </si>
  <si>
    <t>сравнительной оценки двух альтернатив</t>
  </si>
  <si>
    <t>по степени доминирования</t>
  </si>
  <si>
    <t>ранжирование критериев</t>
  </si>
  <si>
    <t>вес критериев</t>
  </si>
  <si>
    <t>отношения оценок альтернатив</t>
  </si>
  <si>
    <t>скорректированные степени доминирования</t>
  </si>
  <si>
    <t>оценки доменирования</t>
  </si>
  <si>
    <t>обобщенная</t>
  </si>
  <si>
    <t>Р0 = 0,35</t>
  </si>
  <si>
    <t>М5</t>
  </si>
  <si>
    <t>сов бл</t>
  </si>
  <si>
    <t>оч дал</t>
  </si>
  <si>
    <t>близ</t>
  </si>
  <si>
    <t>дал</t>
  </si>
  <si>
    <t>бл(дал М2)</t>
  </si>
  <si>
    <t>ср</t>
  </si>
  <si>
    <t>Ei3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</si>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</sst>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/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0" xfId="0" applyFont="1" applyBorder="1"/>
    <xf numFmtId="1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Fill="1" applyBorder="1"/>
    <xf numFmtId="0" fontId="0" fillId="3" borderId="8" xfId="0" applyFill="1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249</xdr:row>
      <xdr:rowOff>0</xdr:rowOff>
    </xdr:from>
    <xdr:to>
      <xdr:col>10</xdr:col>
      <xdr:colOff>478631</xdr:colOff>
      <xdr:row>258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219" y="48148875"/>
          <a:ext cx="5943600" cy="1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9</xdr:col>
      <xdr:colOff>9525</xdr:colOff>
      <xdr:row>271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219" y="50434875"/>
          <a:ext cx="4867275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2"/>
  <sheetViews>
    <sheetView tabSelected="1" topLeftCell="A104" zoomScaleNormal="100" workbookViewId="0">
      <selection activeCell="C122" sqref="C122"/>
    </sheetView>
  </sheetViews>
  <sheetFormatPr defaultRowHeight="14.4" x14ac:dyDescent="0.3"/>
  <sheetData>
    <row r="1" spans="1:9" ht="25.8" x14ac:dyDescent="0.5">
      <c r="A1" s="1"/>
    </row>
    <row r="10" spans="1:9" x14ac:dyDescent="0.3">
      <c r="B10" t="s">
        <v>56</v>
      </c>
    </row>
    <row r="13" spans="1:9" x14ac:dyDescent="0.3">
      <c r="B13" s="27" t="s">
        <v>1</v>
      </c>
      <c r="C13" s="27"/>
      <c r="D13" s="2" t="s">
        <v>2</v>
      </c>
      <c r="E13" s="2" t="s">
        <v>3</v>
      </c>
      <c r="F13" s="2" t="s">
        <v>4</v>
      </c>
      <c r="G13" s="2" t="s">
        <v>5</v>
      </c>
      <c r="H13" s="2" t="s">
        <v>72</v>
      </c>
      <c r="I13" s="2" t="s">
        <v>6</v>
      </c>
    </row>
    <row r="14" spans="1:9" x14ac:dyDescent="0.3">
      <c r="B14" s="2" t="s">
        <v>7</v>
      </c>
      <c r="C14" s="2"/>
      <c r="D14" s="25" t="s">
        <v>73</v>
      </c>
      <c r="E14" s="25" t="s">
        <v>75</v>
      </c>
      <c r="F14" s="25" t="s">
        <v>76</v>
      </c>
      <c r="G14" s="25" t="s">
        <v>73</v>
      </c>
      <c r="H14" s="25" t="s">
        <v>77</v>
      </c>
      <c r="I14" s="25" t="s">
        <v>78</v>
      </c>
    </row>
    <row r="15" spans="1:9" x14ac:dyDescent="0.3">
      <c r="B15" s="2" t="s">
        <v>8</v>
      </c>
      <c r="C15" s="2"/>
      <c r="D15" s="25" t="s">
        <v>76</v>
      </c>
      <c r="E15" s="25" t="s">
        <v>78</v>
      </c>
      <c r="F15" s="25" t="s">
        <v>75</v>
      </c>
      <c r="G15" s="25" t="s">
        <v>74</v>
      </c>
      <c r="H15" s="25" t="s">
        <v>76</v>
      </c>
      <c r="I15" s="25" t="s">
        <v>73</v>
      </c>
    </row>
    <row r="16" spans="1:9" x14ac:dyDescent="0.3">
      <c r="B16" s="27" t="s">
        <v>9</v>
      </c>
      <c r="C16" s="27"/>
      <c r="D16" s="25">
        <v>2.5</v>
      </c>
      <c r="E16" s="25">
        <v>4</v>
      </c>
      <c r="F16" s="25">
        <v>3</v>
      </c>
      <c r="G16" s="25">
        <v>2</v>
      </c>
      <c r="H16" s="25">
        <v>3</v>
      </c>
      <c r="I16" s="25">
        <v>3.5</v>
      </c>
    </row>
    <row r="23" spans="2:8" x14ac:dyDescent="0.3">
      <c r="B23" t="s">
        <v>0</v>
      </c>
    </row>
    <row r="26" spans="2:8" x14ac:dyDescent="0.3">
      <c r="B26" s="27" t="s">
        <v>1</v>
      </c>
      <c r="C26" s="27"/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</row>
    <row r="27" spans="2:8" x14ac:dyDescent="0.3">
      <c r="B27" s="2" t="s">
        <v>7</v>
      </c>
      <c r="C27" s="2"/>
      <c r="D27" s="3">
        <v>1</v>
      </c>
      <c r="E27" s="3">
        <v>0.65</v>
      </c>
      <c r="F27" s="3">
        <v>0.2</v>
      </c>
      <c r="G27" s="3">
        <v>0.6</v>
      </c>
      <c r="H27" s="3">
        <v>0.5</v>
      </c>
    </row>
    <row r="28" spans="2:8" x14ac:dyDescent="0.3">
      <c r="B28" s="2" t="s">
        <v>8</v>
      </c>
      <c r="C28" s="2"/>
      <c r="D28" s="3">
        <v>0.4</v>
      </c>
      <c r="E28" s="3">
        <v>0.6</v>
      </c>
      <c r="F28" s="3">
        <v>0.8</v>
      </c>
      <c r="G28" s="3">
        <v>0.2</v>
      </c>
      <c r="H28" s="3">
        <v>1</v>
      </c>
    </row>
    <row r="29" spans="2:8" x14ac:dyDescent="0.3">
      <c r="B29" s="27" t="s">
        <v>9</v>
      </c>
      <c r="C29" s="27"/>
      <c r="D29" s="3">
        <v>0.8</v>
      </c>
      <c r="E29" s="3">
        <v>0.5</v>
      </c>
      <c r="F29" s="3">
        <v>0.66700000000000004</v>
      </c>
      <c r="G29" s="3">
        <v>1</v>
      </c>
      <c r="H29" s="3">
        <v>0.57099999999999995</v>
      </c>
    </row>
    <row r="30" spans="2:8" x14ac:dyDescent="0.3">
      <c r="B30" t="s">
        <v>57</v>
      </c>
    </row>
    <row r="31" spans="2:8" x14ac:dyDescent="0.3">
      <c r="B31" s="27" t="s">
        <v>1</v>
      </c>
      <c r="C31" s="27"/>
      <c r="D31" s="2" t="s">
        <v>2</v>
      </c>
      <c r="E31" s="2" t="s">
        <v>3</v>
      </c>
      <c r="F31" s="2" t="s">
        <v>4</v>
      </c>
      <c r="G31" s="2" t="s">
        <v>5</v>
      </c>
      <c r="H31" s="2" t="s">
        <v>6</v>
      </c>
    </row>
    <row r="32" spans="2:8" x14ac:dyDescent="0.3">
      <c r="B32" s="27" t="s">
        <v>10</v>
      </c>
      <c r="C32" s="27"/>
      <c r="D32" s="2">
        <v>0.4</v>
      </c>
      <c r="E32" s="2">
        <v>0.5</v>
      </c>
      <c r="F32" s="2">
        <v>0.2</v>
      </c>
      <c r="G32" s="2">
        <v>0.2</v>
      </c>
      <c r="H32" s="2">
        <v>0.5</v>
      </c>
    </row>
    <row r="34" spans="1:14" x14ac:dyDescent="0.3">
      <c r="B34" t="s">
        <v>71</v>
      </c>
      <c r="C34" t="s">
        <v>58</v>
      </c>
    </row>
    <row r="36" spans="1:14" x14ac:dyDescent="0.3">
      <c r="B36" s="25" t="s">
        <v>1</v>
      </c>
      <c r="C36" s="2" t="s">
        <v>2</v>
      </c>
      <c r="D36" s="2" t="s">
        <v>3</v>
      </c>
      <c r="E36" s="2" t="s">
        <v>6</v>
      </c>
    </row>
    <row r="37" spans="1:14" x14ac:dyDescent="0.3">
      <c r="B37" s="24" t="s">
        <v>11</v>
      </c>
      <c r="C37" s="2">
        <v>0.4</v>
      </c>
      <c r="D37" s="2">
        <v>0.5</v>
      </c>
      <c r="E37" s="2">
        <v>0.5</v>
      </c>
    </row>
    <row r="38" spans="1:14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3">
      <c r="B39" t="s">
        <v>55</v>
      </c>
    </row>
    <row r="40" spans="1:14" x14ac:dyDescent="0.3">
      <c r="A40" s="28" t="s">
        <v>1</v>
      </c>
      <c r="B40" s="29"/>
      <c r="C40" s="2" t="s">
        <v>2</v>
      </c>
      <c r="D40" s="2" t="s">
        <v>3</v>
      </c>
      <c r="E40" s="23" t="s">
        <v>6</v>
      </c>
    </row>
    <row r="41" spans="1:14" x14ac:dyDescent="0.3">
      <c r="A41" s="33" t="s">
        <v>7</v>
      </c>
      <c r="B41" s="34"/>
      <c r="C41" s="25">
        <v>1</v>
      </c>
      <c r="D41" s="3">
        <v>0.65</v>
      </c>
      <c r="E41" s="3">
        <v>0.5</v>
      </c>
    </row>
    <row r="42" spans="1:14" x14ac:dyDescent="0.3">
      <c r="A42" s="35" t="s">
        <v>8</v>
      </c>
      <c r="B42" s="36"/>
      <c r="C42" s="25">
        <v>0.4</v>
      </c>
      <c r="D42" s="3">
        <v>0.6</v>
      </c>
      <c r="E42" s="3">
        <v>1</v>
      </c>
    </row>
    <row r="43" spans="1:14" x14ac:dyDescent="0.3">
      <c r="A43" s="37" t="s">
        <v>9</v>
      </c>
      <c r="B43" s="38"/>
      <c r="C43" s="25">
        <v>0.8</v>
      </c>
      <c r="D43" s="3">
        <v>0.5</v>
      </c>
      <c r="E43" s="3">
        <v>0.57099999999999995</v>
      </c>
    </row>
    <row r="45" spans="1:14" x14ac:dyDescent="0.3">
      <c r="B45" s="17" t="s">
        <v>12</v>
      </c>
      <c r="C45" s="18">
        <f>(C41+D41+E41)/3</f>
        <v>0.71666666666666667</v>
      </c>
    </row>
    <row r="46" spans="1:14" x14ac:dyDescent="0.3">
      <c r="B46" s="19" t="s">
        <v>13</v>
      </c>
      <c r="C46" s="18">
        <f t="shared" ref="C46:C47" si="0">(C42+D42+E42)/3</f>
        <v>0.66666666666666663</v>
      </c>
      <c r="D46" t="s">
        <v>60</v>
      </c>
    </row>
    <row r="47" spans="1:14" x14ac:dyDescent="0.3">
      <c r="B47" s="21" t="s">
        <v>14</v>
      </c>
      <c r="C47" s="18">
        <f t="shared" si="0"/>
        <v>0.6236666666666667</v>
      </c>
    </row>
    <row r="49" spans="2:7" x14ac:dyDescent="0.3">
      <c r="B49" s="17" t="s">
        <v>15</v>
      </c>
      <c r="C49" s="18">
        <f>(ABS(C46-C45)+ABS(C47-C45))/2*C45</f>
        <v>5.1241666666666671E-2</v>
      </c>
    </row>
    <row r="50" spans="2:7" x14ac:dyDescent="0.3">
      <c r="B50" s="19" t="s">
        <v>16</v>
      </c>
      <c r="C50" s="20">
        <f>(ABS(C47-C46)+ABS(C45-C46))/2*C46</f>
        <v>3.0999999999999989E-2</v>
      </c>
      <c r="D50" t="s">
        <v>59</v>
      </c>
    </row>
    <row r="51" spans="2:7" x14ac:dyDescent="0.3">
      <c r="B51" s="19" t="s">
        <v>17</v>
      </c>
      <c r="C51" s="20">
        <f>(ABS(C45-C47)+ABS(C46-C47))/2*C47</f>
        <v>4.2409333333333306E-2</v>
      </c>
    </row>
    <row r="52" spans="2:7" x14ac:dyDescent="0.3">
      <c r="B52" s="21" t="s">
        <v>18</v>
      </c>
      <c r="C52" s="22">
        <f>SUM(C49:C51)</f>
        <v>0.12465099999999996</v>
      </c>
    </row>
    <row r="54" spans="2:7" x14ac:dyDescent="0.3">
      <c r="B54" s="17" t="s">
        <v>19</v>
      </c>
      <c r="C54" s="18">
        <f>C49/C$52</f>
        <v>0.41108107168547936</v>
      </c>
    </row>
    <row r="55" spans="2:7" x14ac:dyDescent="0.3">
      <c r="B55" s="19" t="s">
        <v>20</v>
      </c>
      <c r="C55" s="20">
        <f t="shared" ref="C55:C56" si="1">C50/C$52</f>
        <v>0.24869435463814971</v>
      </c>
      <c r="D55" t="s">
        <v>61</v>
      </c>
    </row>
    <row r="56" spans="2:7" x14ac:dyDescent="0.3">
      <c r="B56" s="21" t="s">
        <v>21</v>
      </c>
      <c r="C56" s="22">
        <f t="shared" si="1"/>
        <v>0.34022457367637099</v>
      </c>
    </row>
    <row r="58" spans="2:7" x14ac:dyDescent="0.3">
      <c r="B58" s="5"/>
      <c r="C58" s="2" t="s">
        <v>22</v>
      </c>
      <c r="D58" s="2" t="s">
        <v>23</v>
      </c>
      <c r="E58" s="2" t="s">
        <v>79</v>
      </c>
    </row>
    <row r="59" spans="2:7" x14ac:dyDescent="0.3">
      <c r="B59" s="2" t="s">
        <v>24</v>
      </c>
      <c r="C59" s="2">
        <f>$C54/C41</f>
        <v>0.41108107168547936</v>
      </c>
      <c r="D59" s="2">
        <f>$C54/D41</f>
        <v>0.63243241797766048</v>
      </c>
      <c r="E59" s="2">
        <f>$C54/E41</f>
        <v>0.82216214337095872</v>
      </c>
      <c r="G59" t="s">
        <v>62</v>
      </c>
    </row>
    <row r="60" spans="2:7" x14ac:dyDescent="0.3">
      <c r="B60" s="2" t="s">
        <v>25</v>
      </c>
      <c r="C60" s="2">
        <f>$C55/C42</f>
        <v>0.62173588659537427</v>
      </c>
      <c r="D60" s="2">
        <f>$C55/D42</f>
        <v>0.41449059106358288</v>
      </c>
      <c r="E60" s="2">
        <f>$C55/E42</f>
        <v>0.24869435463814971</v>
      </c>
    </row>
    <row r="61" spans="2:7" x14ac:dyDescent="0.3">
      <c r="B61" s="5" t="s">
        <v>26</v>
      </c>
      <c r="C61" s="2">
        <f>$C56/C43</f>
        <v>0.42528071709546372</v>
      </c>
      <c r="D61" s="2">
        <f>$C56/D43</f>
        <v>0.68044914735274198</v>
      </c>
      <c r="E61" s="2">
        <f>$C56/E43</f>
        <v>0.59583988384653419</v>
      </c>
    </row>
    <row r="63" spans="2:7" x14ac:dyDescent="0.3">
      <c r="B63" s="17" t="s">
        <v>27</v>
      </c>
      <c r="C63" s="32">
        <f>SUM(C59:C61)</f>
        <v>1.4580976753763175</v>
      </c>
      <c r="E63" t="s">
        <v>54</v>
      </c>
    </row>
    <row r="64" spans="2:7" x14ac:dyDescent="0.3">
      <c r="B64" s="21" t="s">
        <v>28</v>
      </c>
      <c r="C64" s="18">
        <f>SUM(D59:D61)</f>
        <v>1.7273721563939852</v>
      </c>
    </row>
    <row r="65" spans="1:17" x14ac:dyDescent="0.3">
      <c r="A65" s="4"/>
      <c r="B65" s="17" t="s">
        <v>80</v>
      </c>
      <c r="C65" s="31">
        <f>SUM(E59:E61)</f>
        <v>1.6666963818556426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7" spans="1:17" ht="25.8" x14ac:dyDescent="0.5">
      <c r="A67" s="1"/>
    </row>
    <row r="71" spans="1:17" x14ac:dyDescent="0.3">
      <c r="B71" t="s">
        <v>63</v>
      </c>
    </row>
    <row r="72" spans="1:17" x14ac:dyDescent="0.3">
      <c r="B72" t="s">
        <v>64</v>
      </c>
    </row>
    <row r="78" spans="1:17" x14ac:dyDescent="0.3">
      <c r="B78" s="27" t="s">
        <v>1</v>
      </c>
      <c r="C78" s="27"/>
      <c r="D78" s="2" t="s">
        <v>2</v>
      </c>
      <c r="E78" s="2" t="s">
        <v>3</v>
      </c>
      <c r="F78" s="2" t="s">
        <v>4</v>
      </c>
      <c r="G78" s="2" t="s">
        <v>5</v>
      </c>
      <c r="H78" s="2" t="s">
        <v>72</v>
      </c>
      <c r="I78" s="2" t="s">
        <v>6</v>
      </c>
    </row>
    <row r="79" spans="1:17" x14ac:dyDescent="0.3">
      <c r="B79" s="2" t="s">
        <v>7</v>
      </c>
      <c r="C79" s="2"/>
      <c r="D79" s="25" t="s">
        <v>73</v>
      </c>
      <c r="E79" s="25" t="s">
        <v>75</v>
      </c>
      <c r="F79" s="25" t="s">
        <v>76</v>
      </c>
      <c r="G79" s="25" t="s">
        <v>73</v>
      </c>
      <c r="H79" s="25" t="s">
        <v>77</v>
      </c>
      <c r="I79" s="25" t="s">
        <v>78</v>
      </c>
    </row>
    <row r="80" spans="1:17" x14ac:dyDescent="0.3">
      <c r="B80" s="2" t="s">
        <v>8</v>
      </c>
      <c r="C80" s="2"/>
      <c r="D80" s="25" t="s">
        <v>76</v>
      </c>
      <c r="E80" s="25" t="s">
        <v>78</v>
      </c>
      <c r="F80" s="25" t="s">
        <v>75</v>
      </c>
      <c r="G80" s="25" t="s">
        <v>74</v>
      </c>
      <c r="H80" s="25" t="s">
        <v>76</v>
      </c>
      <c r="I80" s="25" t="s">
        <v>73</v>
      </c>
    </row>
    <row r="81" spans="2:9" x14ac:dyDescent="0.3">
      <c r="B81" s="27" t="s">
        <v>9</v>
      </c>
      <c r="C81" s="27"/>
      <c r="D81" s="25">
        <v>2.5</v>
      </c>
      <c r="E81" s="25">
        <v>4</v>
      </c>
      <c r="F81" s="25">
        <v>3</v>
      </c>
      <c r="G81" s="25">
        <v>2</v>
      </c>
      <c r="H81" s="25">
        <v>3</v>
      </c>
      <c r="I81" s="25">
        <v>3.5</v>
      </c>
    </row>
    <row r="90" spans="2:9" x14ac:dyDescent="0.3">
      <c r="B90" s="28" t="s">
        <v>1</v>
      </c>
      <c r="C90" s="29"/>
      <c r="D90" s="2" t="s">
        <v>2</v>
      </c>
      <c r="E90" s="2" t="s">
        <v>3</v>
      </c>
      <c r="F90" s="2" t="s">
        <v>4</v>
      </c>
      <c r="G90" s="2" t="s">
        <v>5</v>
      </c>
      <c r="H90" s="2" t="s">
        <v>6</v>
      </c>
    </row>
    <row r="91" spans="2:9" x14ac:dyDescent="0.3">
      <c r="B91" s="2" t="s">
        <v>7</v>
      </c>
      <c r="C91" s="2"/>
      <c r="D91" s="7">
        <v>1</v>
      </c>
      <c r="E91" s="7">
        <v>0.65</v>
      </c>
      <c r="F91" s="7">
        <v>0.2</v>
      </c>
      <c r="G91" s="7">
        <v>0.6</v>
      </c>
      <c r="H91" s="7">
        <v>0.5</v>
      </c>
    </row>
    <row r="92" spans="2:9" x14ac:dyDescent="0.3">
      <c r="B92" s="2" t="s">
        <v>8</v>
      </c>
      <c r="C92" s="2"/>
      <c r="D92" s="7">
        <v>0.4</v>
      </c>
      <c r="E92" s="7">
        <v>0.6</v>
      </c>
      <c r="F92" s="7">
        <v>0.8</v>
      </c>
      <c r="G92" s="7">
        <v>0.2</v>
      </c>
      <c r="H92" s="7">
        <v>1</v>
      </c>
    </row>
    <row r="93" spans="2:9" x14ac:dyDescent="0.3">
      <c r="B93" s="28" t="s">
        <v>9</v>
      </c>
      <c r="C93" s="29"/>
      <c r="D93" s="7">
        <v>0.8</v>
      </c>
      <c r="E93" s="7">
        <v>0.5</v>
      </c>
      <c r="F93" s="7">
        <v>0.66700000000000004</v>
      </c>
      <c r="G93" s="7">
        <v>1</v>
      </c>
      <c r="H93" s="7">
        <v>0.57099999999999995</v>
      </c>
    </row>
    <row r="95" spans="2:9" x14ac:dyDescent="0.3">
      <c r="B95" t="s">
        <v>29</v>
      </c>
    </row>
    <row r="97" spans="2:5" x14ac:dyDescent="0.3">
      <c r="B97" s="2" t="s">
        <v>15</v>
      </c>
      <c r="C97" s="2">
        <v>2</v>
      </c>
    </row>
    <row r="98" spans="2:5" x14ac:dyDescent="0.3">
      <c r="B98" s="2" t="s">
        <v>16</v>
      </c>
      <c r="C98" s="2">
        <v>1</v>
      </c>
      <c r="E98" t="s">
        <v>65</v>
      </c>
    </row>
    <row r="99" spans="2:5" x14ac:dyDescent="0.3">
      <c r="B99" s="2" t="s">
        <v>17</v>
      </c>
      <c r="C99" s="2">
        <v>3</v>
      </c>
    </row>
    <row r="101" spans="2:5" x14ac:dyDescent="0.3">
      <c r="B101" s="2" t="s">
        <v>30</v>
      </c>
      <c r="C101" s="2">
        <f>C$99+1-C97</f>
        <v>2</v>
      </c>
    </row>
    <row r="102" spans="2:5" x14ac:dyDescent="0.3">
      <c r="B102" s="2" t="s">
        <v>31</v>
      </c>
      <c r="C102" s="2">
        <f>C$99+1-C98</f>
        <v>3</v>
      </c>
      <c r="E102" t="s">
        <v>66</v>
      </c>
    </row>
    <row r="103" spans="2:5" x14ac:dyDescent="0.3">
      <c r="B103" s="2" t="s">
        <v>32</v>
      </c>
      <c r="C103" s="2">
        <f>C$99+1-C99</f>
        <v>1</v>
      </c>
    </row>
    <row r="105" spans="2:5" x14ac:dyDescent="0.3">
      <c r="B105" s="2" t="s">
        <v>33</v>
      </c>
      <c r="C105" s="2">
        <f>D91/F91</f>
        <v>5</v>
      </c>
    </row>
    <row r="106" spans="2:5" x14ac:dyDescent="0.3">
      <c r="B106" s="2" t="s">
        <v>34</v>
      </c>
      <c r="C106" s="2">
        <f>H92/G92</f>
        <v>5</v>
      </c>
      <c r="E106" t="s">
        <v>67</v>
      </c>
    </row>
    <row r="107" spans="2:5" x14ac:dyDescent="0.3">
      <c r="B107" s="2" t="s">
        <v>35</v>
      </c>
      <c r="C107" s="2">
        <f>G93/E93</f>
        <v>2</v>
      </c>
    </row>
    <row r="109" spans="2:5" x14ac:dyDescent="0.3">
      <c r="B109" s="2" t="s">
        <v>36</v>
      </c>
      <c r="C109" s="2">
        <f>POWER(C105,C101)</f>
        <v>25</v>
      </c>
    </row>
    <row r="110" spans="2:5" x14ac:dyDescent="0.3">
      <c r="B110" s="2" t="s">
        <v>37</v>
      </c>
      <c r="C110" s="2">
        <f t="shared" ref="C110:C111" si="2">POWER(C106,C102)</f>
        <v>125</v>
      </c>
      <c r="E110" t="s">
        <v>68</v>
      </c>
    </row>
    <row r="111" spans="2:5" x14ac:dyDescent="0.3">
      <c r="B111" s="2" t="s">
        <v>38</v>
      </c>
      <c r="C111" s="2">
        <f t="shared" si="2"/>
        <v>2</v>
      </c>
    </row>
    <row r="113" spans="1:35" x14ac:dyDescent="0.3">
      <c r="B113" s="2"/>
      <c r="C113" s="2" t="s">
        <v>42</v>
      </c>
      <c r="E113" s="2"/>
      <c r="F113" s="2" t="s">
        <v>43</v>
      </c>
      <c r="H113" s="2"/>
      <c r="I113" s="2" t="s">
        <v>45</v>
      </c>
    </row>
    <row r="114" spans="1:35" x14ac:dyDescent="0.3">
      <c r="B114" s="2" t="s">
        <v>41</v>
      </c>
      <c r="C114" s="2">
        <f>C109*C111</f>
        <v>50</v>
      </c>
      <c r="E114" s="2" t="s">
        <v>39</v>
      </c>
      <c r="F114" s="2">
        <f>C109</f>
        <v>25</v>
      </c>
      <c r="H114" s="2" t="s">
        <v>40</v>
      </c>
      <c r="I114" s="2">
        <f>C110</f>
        <v>125</v>
      </c>
    </row>
    <row r="115" spans="1:35" x14ac:dyDescent="0.3">
      <c r="B115" s="2" t="s">
        <v>39</v>
      </c>
      <c r="C115" s="2">
        <f>C110</f>
        <v>125</v>
      </c>
      <c r="E115" s="2" t="s">
        <v>40</v>
      </c>
      <c r="F115" s="2">
        <f>C110*C111</f>
        <v>250</v>
      </c>
      <c r="H115" s="2" t="s">
        <v>44</v>
      </c>
      <c r="I115" s="2">
        <f>C111*C109</f>
        <v>50</v>
      </c>
      <c r="K115" t="s">
        <v>69</v>
      </c>
    </row>
    <row r="118" spans="1:35" x14ac:dyDescent="0.3">
      <c r="B118" s="2"/>
      <c r="C118" s="2" t="s">
        <v>47</v>
      </c>
      <c r="E118" s="2"/>
      <c r="F118" s="2" t="s">
        <v>48</v>
      </c>
    </row>
    <row r="119" spans="1:35" x14ac:dyDescent="0.3">
      <c r="B119" s="2" t="s">
        <v>44</v>
      </c>
      <c r="C119" s="2">
        <f>C109*C111</f>
        <v>50</v>
      </c>
      <c r="E119" s="2" t="s">
        <v>46</v>
      </c>
      <c r="F119" s="2">
        <f>C110</f>
        <v>125</v>
      </c>
    </row>
    <row r="120" spans="1:35" x14ac:dyDescent="0.3">
      <c r="B120" s="2" t="s">
        <v>46</v>
      </c>
      <c r="C120" s="2">
        <f>C110</f>
        <v>125</v>
      </c>
      <c r="E120" s="2" t="s">
        <v>41</v>
      </c>
      <c r="F120" s="2">
        <f>C109*C111</f>
        <v>50</v>
      </c>
    </row>
    <row r="122" spans="1:35" x14ac:dyDescent="0.3">
      <c r="B122" s="2" t="s">
        <v>49</v>
      </c>
      <c r="C122" s="2">
        <f>C114/C115</f>
        <v>0.4</v>
      </c>
    </row>
    <row r="123" spans="1:35" x14ac:dyDescent="0.3">
      <c r="B123" s="2" t="s">
        <v>50</v>
      </c>
      <c r="C123" s="2">
        <f>F114/F115</f>
        <v>0.1</v>
      </c>
    </row>
    <row r="124" spans="1:35" x14ac:dyDescent="0.3">
      <c r="B124" s="2" t="s">
        <v>51</v>
      </c>
      <c r="C124" s="2">
        <f>I114/I115</f>
        <v>2.5</v>
      </c>
      <c r="E124" t="s">
        <v>70</v>
      </c>
    </row>
    <row r="125" spans="1:35" x14ac:dyDescent="0.3">
      <c r="B125" s="2" t="s">
        <v>52</v>
      </c>
      <c r="C125" s="2">
        <f>C119/C120</f>
        <v>0.4</v>
      </c>
    </row>
    <row r="126" spans="1:35" x14ac:dyDescent="0.3">
      <c r="B126" s="2" t="s">
        <v>53</v>
      </c>
      <c r="C126" s="2">
        <f>F119/F120</f>
        <v>2.5</v>
      </c>
    </row>
    <row r="127" spans="1:35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35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 spans="1:35" ht="25.8" x14ac:dyDescent="0.5">
      <c r="A129" s="12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 spans="1:35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 spans="1:35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 spans="1:35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 spans="1:35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 spans="1:35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 spans="1:35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 spans="1:35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 spans="1:35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 spans="1:35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 spans="1:35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 spans="1:35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spans="1:35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 spans="1:35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spans="1:35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 spans="1:35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spans="1:35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spans="1:35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spans="1:35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spans="1:35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spans="1:35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spans="1:35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spans="1:35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spans="1:35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spans="1:35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spans="1:35" x14ac:dyDescent="0.3">
      <c r="A155" s="10"/>
      <c r="B155" s="10"/>
      <c r="C155" s="13"/>
      <c r="D155" s="13"/>
      <c r="E155" s="13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spans="1:35" x14ac:dyDescent="0.3">
      <c r="A156" s="10"/>
      <c r="B156" s="10"/>
      <c r="C156" s="13"/>
      <c r="D156" s="13"/>
      <c r="E156" s="13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spans="1:35" x14ac:dyDescent="0.3">
      <c r="A157" s="10"/>
      <c r="B157" s="10"/>
      <c r="C157" s="13"/>
      <c r="D157" s="13"/>
      <c r="E157" s="13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spans="1:35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spans="1:35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spans="1:35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spans="1:35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spans="1:35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spans="1:35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spans="1:35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spans="1:35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spans="1:35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spans="1:35" x14ac:dyDescent="0.3">
      <c r="A167" s="10"/>
      <c r="B167" s="30"/>
      <c r="C167" s="3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spans="1:35" x14ac:dyDescent="0.3">
      <c r="A168" s="10"/>
      <c r="B168" s="30"/>
      <c r="C168" s="30"/>
      <c r="D168" s="14"/>
      <c r="E168" s="14"/>
      <c r="F168" s="14"/>
      <c r="G168" s="14"/>
      <c r="H168" s="1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spans="1:35" x14ac:dyDescent="0.3">
      <c r="A169" s="10"/>
      <c r="B169" s="30"/>
      <c r="C169" s="30"/>
      <c r="D169" s="14"/>
      <c r="E169" s="14"/>
      <c r="F169" s="14"/>
      <c r="G169" s="14"/>
      <c r="H169" s="1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spans="1:35" x14ac:dyDescent="0.3">
      <c r="A170" s="10"/>
      <c r="B170" s="30"/>
      <c r="C170" s="30"/>
      <c r="D170" s="14"/>
      <c r="E170" s="14"/>
      <c r="F170" s="14"/>
      <c r="G170" s="14"/>
      <c r="H170" s="14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spans="1:35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spans="1:35" x14ac:dyDescent="0.3">
      <c r="A172" s="10"/>
      <c r="B172" s="10"/>
      <c r="C172" s="10"/>
      <c r="D172" s="10"/>
      <c r="E172" s="10"/>
      <c r="F172" s="10"/>
      <c r="G172" s="10"/>
      <c r="H172" s="8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spans="1:35" x14ac:dyDescent="0.3">
      <c r="A173" s="10"/>
      <c r="B173" s="10"/>
      <c r="C173" s="14"/>
      <c r="D173" s="14"/>
      <c r="E173" s="14"/>
      <c r="F173" s="14"/>
      <c r="G173" s="14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x14ac:dyDescent="0.3">
      <c r="A174" s="10"/>
      <c r="B174" s="10"/>
      <c r="C174" s="14"/>
      <c r="D174" s="14"/>
      <c r="E174" s="14"/>
      <c r="F174" s="14"/>
      <c r="G174" s="14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x14ac:dyDescent="0.3">
      <c r="A175" s="10"/>
      <c r="B175" s="10"/>
      <c r="C175" s="14"/>
      <c r="D175" s="14"/>
      <c r="E175" s="14"/>
      <c r="F175" s="14"/>
      <c r="G175" s="14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spans="1:35" x14ac:dyDescent="0.3">
      <c r="A176" s="10"/>
      <c r="B176" s="10"/>
      <c r="C176" s="14"/>
      <c r="D176" s="14"/>
      <c r="E176" s="14"/>
      <c r="F176" s="14"/>
      <c r="G176" s="14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spans="1:35" x14ac:dyDescent="0.3">
      <c r="A177" s="10"/>
      <c r="B177" s="10"/>
      <c r="C177" s="14"/>
      <c r="D177" s="14"/>
      <c r="E177" s="14"/>
      <c r="F177" s="14"/>
      <c r="G177" s="14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spans="1:35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spans="1:35" x14ac:dyDescent="0.3">
      <c r="A179" s="10"/>
      <c r="B179" s="10"/>
      <c r="C179" s="10"/>
      <c r="D179" s="10"/>
      <c r="E179" s="10"/>
      <c r="F179" s="10"/>
      <c r="G179" s="10"/>
      <c r="H179" s="8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spans="1:35" x14ac:dyDescent="0.3">
      <c r="A180" s="10"/>
      <c r="B180" s="10"/>
      <c r="C180" s="14"/>
      <c r="D180" s="14"/>
      <c r="E180" s="14"/>
      <c r="F180" s="14"/>
      <c r="G180" s="14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spans="1:35" x14ac:dyDescent="0.3">
      <c r="A181" s="10"/>
      <c r="B181" s="10"/>
      <c r="C181" s="14"/>
      <c r="D181" s="14"/>
      <c r="E181" s="14"/>
      <c r="F181" s="14"/>
      <c r="G181" s="14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spans="1:35" x14ac:dyDescent="0.3">
      <c r="A182" s="10"/>
      <c r="B182" s="10"/>
      <c r="C182" s="14"/>
      <c r="D182" s="14"/>
      <c r="E182" s="14"/>
      <c r="F182" s="14"/>
      <c r="G182" s="14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spans="1:35" x14ac:dyDescent="0.3">
      <c r="A183" s="10"/>
      <c r="B183" s="10"/>
      <c r="C183" s="14"/>
      <c r="D183" s="14"/>
      <c r="E183" s="14"/>
      <c r="F183" s="14"/>
      <c r="G183" s="14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 x14ac:dyDescent="0.3">
      <c r="A184" s="10"/>
      <c r="B184" s="10"/>
      <c r="C184" s="14"/>
      <c r="D184" s="14"/>
      <c r="E184" s="14"/>
      <c r="F184" s="14"/>
      <c r="G184" s="14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spans="1:35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spans="1:35" x14ac:dyDescent="0.3">
      <c r="A186" s="10"/>
      <c r="B186" s="10"/>
      <c r="C186" s="10"/>
      <c r="D186" s="10"/>
      <c r="E186" s="10"/>
      <c r="F186" s="10"/>
      <c r="G186" s="10"/>
      <c r="H186" s="8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spans="1:35" x14ac:dyDescent="0.3">
      <c r="A187" s="10"/>
      <c r="B187" s="10"/>
      <c r="C187" s="14"/>
      <c r="D187" s="14"/>
      <c r="E187" s="14"/>
      <c r="F187" s="14"/>
      <c r="G187" s="14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spans="1:35" x14ac:dyDescent="0.3">
      <c r="A188" s="10"/>
      <c r="B188" s="10"/>
      <c r="C188" s="14"/>
      <c r="D188" s="14"/>
      <c r="E188" s="14"/>
      <c r="F188" s="14"/>
      <c r="G188" s="14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spans="1:35" x14ac:dyDescent="0.3">
      <c r="A189" s="10"/>
      <c r="B189" s="10"/>
      <c r="C189" s="14"/>
      <c r="D189" s="14"/>
      <c r="E189" s="14"/>
      <c r="F189" s="14"/>
      <c r="G189" s="14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spans="1:35" x14ac:dyDescent="0.3">
      <c r="A190" s="10"/>
      <c r="B190" s="10"/>
      <c r="C190" s="14"/>
      <c r="D190" s="14"/>
      <c r="E190" s="14"/>
      <c r="F190" s="14"/>
      <c r="G190" s="14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spans="1:35" x14ac:dyDescent="0.3">
      <c r="A191" s="10"/>
      <c r="B191" s="10"/>
      <c r="C191" s="14"/>
      <c r="D191" s="14"/>
      <c r="E191" s="14"/>
      <c r="F191" s="14"/>
      <c r="G191" s="14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spans="1:35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spans="1:35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spans="1:35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spans="1:35" x14ac:dyDescent="0.3">
      <c r="A195" s="10"/>
      <c r="B195" s="10"/>
      <c r="C195" s="14"/>
      <c r="D195" s="14"/>
      <c r="E195" s="14"/>
      <c r="F195" s="14"/>
      <c r="G195" s="14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spans="1:35" x14ac:dyDescent="0.3">
      <c r="A196" s="10"/>
      <c r="B196" s="10"/>
      <c r="C196" s="14"/>
      <c r="D196" s="14"/>
      <c r="E196" s="14"/>
      <c r="F196" s="14"/>
      <c r="G196" s="14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spans="1:35" x14ac:dyDescent="0.3">
      <c r="A197" s="10"/>
      <c r="B197" s="10"/>
      <c r="C197" s="14"/>
      <c r="D197" s="14"/>
      <c r="E197" s="14"/>
      <c r="F197" s="14"/>
      <c r="G197" s="14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spans="1:35" x14ac:dyDescent="0.3">
      <c r="A198" s="10"/>
      <c r="B198" s="10"/>
      <c r="C198" s="14"/>
      <c r="D198" s="14"/>
      <c r="E198" s="14"/>
      <c r="F198" s="14"/>
      <c r="G198" s="14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spans="1:35" x14ac:dyDescent="0.3">
      <c r="A199" s="10"/>
      <c r="B199" s="10"/>
      <c r="C199" s="14"/>
      <c r="D199" s="14"/>
      <c r="E199" s="14"/>
      <c r="F199" s="14"/>
      <c r="G199" s="14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spans="1:35" x14ac:dyDescent="0.3">
      <c r="A201" s="10"/>
      <c r="B201" s="10"/>
      <c r="C201" s="6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spans="1:35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spans="1:35" x14ac:dyDescent="0.3">
      <c r="A203" s="10"/>
      <c r="B203" s="10"/>
      <c r="C203" s="6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spans="1:35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spans="1:35" x14ac:dyDescent="0.3">
      <c r="A205" s="10"/>
      <c r="B205" s="10"/>
      <c r="C205" s="6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spans="1:35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spans="1:35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spans="1:35" x14ac:dyDescent="0.3">
      <c r="A208" s="10"/>
      <c r="B208" s="10"/>
      <c r="C208" s="14"/>
      <c r="D208" s="14"/>
      <c r="E208" s="14"/>
      <c r="F208" s="14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spans="1:35" x14ac:dyDescent="0.3">
      <c r="A209" s="10"/>
      <c r="B209" s="10"/>
      <c r="C209" s="14"/>
      <c r="D209" s="14"/>
      <c r="E209" s="14"/>
      <c r="F209" s="14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spans="1:35" x14ac:dyDescent="0.3">
      <c r="A210" s="10"/>
      <c r="B210" s="10"/>
      <c r="C210" s="14"/>
      <c r="D210" s="14"/>
      <c r="E210" s="14"/>
      <c r="F210" s="14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spans="1:35" x14ac:dyDescent="0.3">
      <c r="A211" s="10"/>
      <c r="B211" s="10"/>
      <c r="C211" s="14"/>
      <c r="D211" s="14"/>
      <c r="E211" s="14"/>
      <c r="F211" s="14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spans="1:35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spans="1:35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spans="1:35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spans="1:35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spans="1:35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spans="1:35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spans="1:35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spans="1:35" x14ac:dyDescent="0.3">
      <c r="A219" s="10"/>
      <c r="B219" s="10"/>
      <c r="C219" s="14"/>
      <c r="D219" s="14"/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spans="1:35" x14ac:dyDescent="0.3">
      <c r="A220" s="10"/>
      <c r="B220" s="10"/>
      <c r="C220" s="14"/>
      <c r="D220" s="14"/>
      <c r="E220" s="14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spans="1:35" x14ac:dyDescent="0.3">
      <c r="A221" s="10"/>
      <c r="B221" s="10"/>
      <c r="C221" s="14"/>
      <c r="D221" s="14"/>
      <c r="E221" s="14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spans="1:35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spans="1:35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spans="1:35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spans="1:35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spans="1:35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spans="1:35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spans="1:35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spans="1:35" x14ac:dyDescent="0.3">
      <c r="A229" s="10"/>
      <c r="B229" s="10"/>
      <c r="C229" s="10"/>
      <c r="D229" s="14"/>
      <c r="E229" s="14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spans="1:35" x14ac:dyDescent="0.3">
      <c r="A230" s="10"/>
      <c r="B230" s="10"/>
      <c r="C230" s="10"/>
      <c r="D230" s="14"/>
      <c r="E230" s="14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spans="1:35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spans="1:35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spans="1:35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spans="1:35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spans="1:35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spans="1:35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spans="1:35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spans="1:35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spans="1:35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spans="1:35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spans="1:35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spans="1:35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spans="1:35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spans="1:35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spans="1:35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spans="1:35" x14ac:dyDescent="0.3">
      <c r="A246" s="10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spans="1:35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1:35" ht="25.8" x14ac:dyDescent="0.5">
      <c r="A248" s="12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1:35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1:35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1:35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1:35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1:35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1:35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spans="1:35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spans="1:35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spans="1:35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spans="1:35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1:35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1:35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1:35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1:35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1:35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1:35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1:35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1:35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1:35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1:35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1:35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1:35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1:35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1:35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1:35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1:35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1:35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1:35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1:35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1:35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1:35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1:35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1:35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1:35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1:35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spans="1:35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spans="1:35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spans="1:35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spans="1:35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spans="1:35" x14ac:dyDescent="0.3">
      <c r="A288" s="10"/>
      <c r="B288" s="16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spans="1:8" x14ac:dyDescent="0.3">
      <c r="A289" s="9"/>
      <c r="B289" s="26"/>
      <c r="C289" s="26"/>
      <c r="D289" s="11"/>
      <c r="E289" s="11"/>
      <c r="F289" s="11"/>
      <c r="G289" s="11"/>
      <c r="H289" s="11"/>
    </row>
    <row r="290" spans="1:8" x14ac:dyDescent="0.3">
      <c r="B290" s="2"/>
      <c r="C290" s="2"/>
      <c r="D290" s="3"/>
      <c r="E290" s="3"/>
      <c r="F290" s="3"/>
      <c r="G290" s="3"/>
      <c r="H290" s="3"/>
    </row>
    <row r="291" spans="1:8" x14ac:dyDescent="0.3">
      <c r="B291" s="2"/>
      <c r="C291" s="2"/>
      <c r="D291" s="3"/>
      <c r="E291" s="3"/>
      <c r="F291" s="3"/>
      <c r="G291" s="3"/>
      <c r="H291" s="3"/>
    </row>
    <row r="292" spans="1:8" x14ac:dyDescent="0.3">
      <c r="B292" s="27"/>
      <c r="C292" s="27"/>
      <c r="D292" s="3"/>
      <c r="E292" s="3"/>
      <c r="F292" s="3"/>
      <c r="G292" s="3"/>
      <c r="H292" s="3"/>
    </row>
  </sheetData>
  <mergeCells count="20">
    <mergeCell ref="B13:C13"/>
    <mergeCell ref="B16:C16"/>
    <mergeCell ref="B78:C78"/>
    <mergeCell ref="B81:C81"/>
    <mergeCell ref="A40:B40"/>
    <mergeCell ref="A41:B41"/>
    <mergeCell ref="A42:B42"/>
    <mergeCell ref="A43:B43"/>
    <mergeCell ref="B26:C26"/>
    <mergeCell ref="B29:C29"/>
    <mergeCell ref="B31:C31"/>
    <mergeCell ref="B32:C32"/>
    <mergeCell ref="B289:C289"/>
    <mergeCell ref="B292:C292"/>
    <mergeCell ref="B90:C90"/>
    <mergeCell ref="B167:C167"/>
    <mergeCell ref="B169:C169"/>
    <mergeCell ref="B168:C168"/>
    <mergeCell ref="B170:C170"/>
    <mergeCell ref="B93:C9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Артем Харкевич</cp:lastModifiedBy>
  <dcterms:created xsi:type="dcterms:W3CDTF">2025-02-23T09:10:23Z</dcterms:created>
  <dcterms:modified xsi:type="dcterms:W3CDTF">2025-03-06T13:51:26Z</dcterms:modified>
</cp:coreProperties>
</file>