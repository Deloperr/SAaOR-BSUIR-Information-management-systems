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rtem\OneDrive\Документы\саиио\"/>
    </mc:Choice>
  </mc:AlternateContent>
  <xr:revisionPtr revIDLastSave="0" documentId="13_ncr:1_{1CB4AE9F-069A-49BF-BA56-C1259B4BF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" l="1"/>
  <c r="K21" i="1"/>
  <c r="R3" i="1"/>
  <c r="P6" i="1"/>
  <c r="I13" i="1"/>
  <c r="P3" i="1"/>
  <c r="P5" i="1" s="1"/>
  <c r="K48" i="1" a="1"/>
  <c r="K48" i="1" s="1"/>
  <c r="M63" i="1"/>
  <c r="I55" i="1"/>
  <c r="H67" i="1" s="1"/>
  <c r="P50" i="1"/>
  <c r="P49" i="1"/>
  <c r="P48" i="1"/>
  <c r="P45" i="1"/>
  <c r="P46" i="1"/>
  <c r="P44" i="1"/>
  <c r="O45" i="1"/>
  <c r="R45" i="1" s="1"/>
  <c r="O46" i="1"/>
  <c r="R46" i="1" s="1"/>
  <c r="O44" i="1"/>
  <c r="R44" i="1" s="1"/>
  <c r="P7" i="1"/>
  <c r="J33" i="1" s="1"/>
  <c r="H16" i="1"/>
  <c r="S18" i="1"/>
  <c r="S17" i="1"/>
  <c r="S16" i="1"/>
  <c r="S15" i="1"/>
  <c r="S14" i="1"/>
  <c r="U4" i="1"/>
  <c r="U6" i="1" s="1"/>
  <c r="U3" i="1"/>
  <c r="U8" i="1"/>
  <c r="P12" i="1"/>
  <c r="J7" i="1" a="1"/>
  <c r="J11" i="1" s="1"/>
  <c r="N33" i="1" l="1"/>
  <c r="S21" i="1"/>
  <c r="K33" i="1" s="1"/>
  <c r="I60" i="1"/>
  <c r="I61" i="1"/>
  <c r="M67" i="1"/>
  <c r="I63" i="1"/>
  <c r="S20" i="1"/>
  <c r="S23" i="1" s="1"/>
  <c r="U5" i="1"/>
  <c r="K10" i="1"/>
  <c r="J10" i="1"/>
  <c r="K9" i="1"/>
  <c r="J7" i="1"/>
  <c r="J9" i="1"/>
  <c r="K8" i="1"/>
  <c r="M33" i="1"/>
  <c r="J8" i="1"/>
  <c r="K7" i="1"/>
  <c r="I59" i="1"/>
  <c r="I62" i="1"/>
  <c r="M66" i="1"/>
  <c r="K11" i="1"/>
  <c r="L50" i="1"/>
  <c r="M52" i="1"/>
  <c r="K50" i="1"/>
  <c r="L52" i="1"/>
  <c r="M49" i="1"/>
  <c r="K52" i="1"/>
  <c r="L49" i="1"/>
  <c r="M51" i="1"/>
  <c r="K49" i="1"/>
  <c r="L51" i="1"/>
  <c r="M48" i="1"/>
  <c r="K51" i="1"/>
  <c r="L48" i="1"/>
  <c r="M50" i="1"/>
  <c r="I36" i="1" l="1"/>
  <c r="S25" i="1"/>
  <c r="M59" i="1"/>
  <c r="M60" i="1"/>
  <c r="H22" i="1" l="1"/>
  <c r="H24" i="1"/>
  <c r="M62" i="1"/>
</calcChain>
</file>

<file path=xl/sharedStrings.xml><?xml version="1.0" encoding="utf-8"?>
<sst xmlns="http://schemas.openxmlformats.org/spreadsheetml/2006/main" count="84" uniqueCount="65">
  <si>
    <t>Предприятие</t>
  </si>
  <si>
    <t>Объем пр-ва</t>
  </si>
  <si>
    <t xml:space="preserve">Себестоимость </t>
  </si>
  <si>
    <t>К.Корреляции</t>
  </si>
  <si>
    <t>К. Т</t>
  </si>
  <si>
    <t xml:space="preserve"> </t>
  </si>
  <si>
    <t>К. Т а/2;s</t>
  </si>
  <si>
    <t>F а;s1;s2</t>
  </si>
  <si>
    <t>Ручной Расчет</t>
  </si>
  <si>
    <t>Xcp</t>
  </si>
  <si>
    <t>Ycp</t>
  </si>
  <si>
    <t>Sx^2</t>
  </si>
  <si>
    <t>Sy^2</t>
  </si>
  <si>
    <t>Сумм</t>
  </si>
  <si>
    <t>y1</t>
  </si>
  <si>
    <t>y2</t>
  </si>
  <si>
    <t>y3</t>
  </si>
  <si>
    <t>y4</t>
  </si>
  <si>
    <t>y5</t>
  </si>
  <si>
    <t>Qr</t>
  </si>
  <si>
    <t>Qe</t>
  </si>
  <si>
    <t>5A0+126A1=143</t>
  </si>
  <si>
    <t>A0</t>
  </si>
  <si>
    <t>A1</t>
  </si>
  <si>
    <t>F</t>
  </si>
  <si>
    <t>R^2</t>
  </si>
  <si>
    <t>Y=51,3-0,9X</t>
  </si>
  <si>
    <t>С точностью 95%</t>
  </si>
  <si>
    <t>СквX</t>
  </si>
  <si>
    <t>X0</t>
  </si>
  <si>
    <t>P</t>
  </si>
  <si>
    <t>19,8 +- 11,95</t>
  </si>
  <si>
    <t>Не менее</t>
  </si>
  <si>
    <t>Не более</t>
  </si>
  <si>
    <t>X= 27,35368</t>
  </si>
  <si>
    <t>C EXCEL</t>
  </si>
  <si>
    <t>K. T a;s</t>
  </si>
  <si>
    <t>Tтабл</t>
  </si>
  <si>
    <t>N</t>
  </si>
  <si>
    <t>CквХ</t>
  </si>
  <si>
    <t>E</t>
  </si>
  <si>
    <t>Цена сырья</t>
  </si>
  <si>
    <t>5A0+126A1+41А2=143</t>
  </si>
  <si>
    <t>126A0+3762А1=3075</t>
  </si>
  <si>
    <t>х1х2</t>
  </si>
  <si>
    <t>x1y</t>
  </si>
  <si>
    <t>x2y</t>
  </si>
  <si>
    <t>41A0+1104A1+363A2=1127</t>
  </si>
  <si>
    <t>126A0+3762А1+1104A2=3075</t>
  </si>
  <si>
    <t>A2</t>
  </si>
  <si>
    <t>F a;s1;s2</t>
  </si>
  <si>
    <t>E1</t>
  </si>
  <si>
    <t>E2</t>
  </si>
  <si>
    <t>Средняя ожидаемая себестоимость</t>
  </si>
  <si>
    <t>95% и не более 35т.шт/м</t>
  </si>
  <si>
    <t>Y=46,16-1,02X1+0,99X2</t>
  </si>
  <si>
    <t>сумм</t>
  </si>
  <si>
    <t>суммкв</t>
  </si>
  <si>
    <t>срзнач</t>
  </si>
  <si>
    <t>Х=</t>
  </si>
  <si>
    <t>x</t>
  </si>
  <si>
    <t>y</t>
  </si>
  <si>
    <t>x1</t>
  </si>
  <si>
    <t>x2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</si>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</sst>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0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2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353100</xdr:colOff>
      <xdr:row>5</xdr:row>
      <xdr:rowOff>216477</xdr:rowOff>
    </xdr:from>
    <xdr:to>
      <xdr:col>8</xdr:col>
      <xdr:colOff>551528</xdr:colOff>
      <xdr:row>11</xdr:row>
      <xdr:rowOff>42332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E68C1AE-5F24-92DF-33B0-0FD205E28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23" t="3560" r="-1" b="18145"/>
        <a:stretch/>
      </xdr:blipFill>
      <xdr:spPr>
        <a:xfrm>
          <a:off x="4649933" y="1380644"/>
          <a:ext cx="1415512" cy="1222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0</xdr:rowOff>
    </xdr:from>
    <xdr:to>
      <xdr:col>8</xdr:col>
      <xdr:colOff>297180</xdr:colOff>
      <xdr:row>31</xdr:row>
      <xdr:rowOff>169944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30FFB21-79E4-4A9D-A71B-CDFC34398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82880"/>
          <a:ext cx="4602480" cy="5656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U67"/>
  <sheetViews>
    <sheetView tabSelected="1" topLeftCell="A3" zoomScale="72" zoomScaleNormal="55" workbookViewId="0">
      <selection activeCell="L18" sqref="L18"/>
    </sheetView>
  </sheetViews>
  <sheetFormatPr defaultRowHeight="18" x14ac:dyDescent="0.35"/>
  <cols>
    <col min="1" max="1" width="8.88671875" style="1" customWidth="1"/>
    <col min="2" max="3" width="8.88671875" style="1"/>
    <col min="4" max="4" width="8.88671875" style="1" customWidth="1"/>
    <col min="5" max="7" width="8.88671875" style="1"/>
    <col min="8" max="8" width="17.77734375" style="1" customWidth="1"/>
    <col min="9" max="10" width="8.88671875" style="1"/>
    <col min="11" max="11" width="8.88671875" style="1" customWidth="1"/>
    <col min="12" max="12" width="8.88671875" style="1"/>
    <col min="13" max="13" width="8.88671875" style="1" customWidth="1"/>
    <col min="14" max="14" width="8.88671875" style="1"/>
    <col min="15" max="15" width="12.6640625" style="1" customWidth="1"/>
    <col min="16" max="16384" width="8.88671875" style="1"/>
  </cols>
  <sheetData>
    <row r="2" spans="3:21" x14ac:dyDescent="0.35">
      <c r="R2" s="6" t="s">
        <v>8</v>
      </c>
    </row>
    <row r="3" spans="3:21" x14ac:dyDescent="0.35">
      <c r="C3" s="1" t="s">
        <v>21</v>
      </c>
      <c r="H3" s="3" t="s">
        <v>0</v>
      </c>
      <c r="I3" s="4">
        <v>1</v>
      </c>
      <c r="J3" s="4">
        <v>2</v>
      </c>
      <c r="K3" s="4">
        <v>3</v>
      </c>
      <c r="L3" s="4">
        <v>4</v>
      </c>
      <c r="M3" s="5">
        <v>5</v>
      </c>
      <c r="O3" s="1" t="s">
        <v>3</v>
      </c>
      <c r="P3" s="1">
        <f>CORREL(I4:M4,I5:M5)</f>
        <v>-0.96893018079955995</v>
      </c>
      <c r="R3" s="6">
        <f>(U8-5*U3*U4)/(4*SQRT(U5*U6))</f>
        <v>-0.96893018079956061</v>
      </c>
      <c r="T3" s="1" t="s">
        <v>9</v>
      </c>
      <c r="U3" s="1">
        <f>SUM(I4:M4)/5</f>
        <v>25.2</v>
      </c>
    </row>
    <row r="4" spans="3:21" x14ac:dyDescent="0.35">
      <c r="C4" s="1" t="s">
        <v>43</v>
      </c>
      <c r="G4" s="1" t="s">
        <v>60</v>
      </c>
      <c r="H4" s="2" t="s">
        <v>1</v>
      </c>
      <c r="I4" s="6">
        <v>15</v>
      </c>
      <c r="J4" s="6">
        <v>27</v>
      </c>
      <c r="K4" s="6">
        <v>12</v>
      </c>
      <c r="L4" s="6">
        <v>42</v>
      </c>
      <c r="M4" s="7">
        <v>30</v>
      </c>
      <c r="R4" s="6"/>
      <c r="T4" s="1" t="s">
        <v>10</v>
      </c>
      <c r="U4" s="1">
        <f>SUM(I5:M5)/5</f>
        <v>28.6</v>
      </c>
    </row>
    <row r="5" spans="3:21" x14ac:dyDescent="0.35">
      <c r="G5" s="1" t="s">
        <v>61</v>
      </c>
      <c r="H5" s="8" t="s">
        <v>2</v>
      </c>
      <c r="I5" s="9">
        <v>40</v>
      </c>
      <c r="J5" s="9">
        <v>25</v>
      </c>
      <c r="K5" s="9">
        <v>38</v>
      </c>
      <c r="L5" s="9">
        <v>12</v>
      </c>
      <c r="M5" s="10">
        <v>28</v>
      </c>
      <c r="O5" s="1" t="s">
        <v>4</v>
      </c>
      <c r="P5" s="1">
        <f>ABS(P3)*SQRT((5-2)/(1-P3^2))</f>
        <v>6.7852927516909043</v>
      </c>
      <c r="R5" s="6"/>
      <c r="T5" s="1" t="s">
        <v>11</v>
      </c>
      <c r="U5" s="1">
        <f>((I4-U3)^2+(J4-U3)^2+(K4-U3)^2+(L4-U3)^2+(M4-U3)^2)/4</f>
        <v>146.69999999999999</v>
      </c>
    </row>
    <row r="6" spans="3:21" x14ac:dyDescent="0.35">
      <c r="C6" s="1" t="s">
        <v>26</v>
      </c>
      <c r="N6" s="1" t="s">
        <v>5</v>
      </c>
      <c r="O6" s="1" t="s">
        <v>6</v>
      </c>
      <c r="P6" s="1">
        <f>TINV(0.05,3)</f>
        <v>3.1824463052837091</v>
      </c>
      <c r="R6" s="6"/>
      <c r="T6" s="1" t="s">
        <v>12</v>
      </c>
      <c r="U6" s="1">
        <f>((I5-U4)^2+(J5-U4)^2+(K5-U4)^2+(L5-U4)^2+(M5-U4)^2)/4</f>
        <v>126.80000000000001</v>
      </c>
    </row>
    <row r="7" spans="3:21" x14ac:dyDescent="0.35">
      <c r="J7" s="1">
        <f t="array" ref="J7:K11">LINEST(I5:M5,I4:M4,1,1)</f>
        <v>-0.90081799591002043</v>
      </c>
      <c r="K7" s="1">
        <v>51.300613496932513</v>
      </c>
      <c r="O7" s="1" t="s">
        <v>36</v>
      </c>
      <c r="P7" s="1">
        <f>TINV(0.1,3)</f>
        <v>2.3533634348018233</v>
      </c>
      <c r="R7" s="6"/>
    </row>
    <row r="8" spans="3:21" x14ac:dyDescent="0.35">
      <c r="J8" s="1">
        <v>0.13276037289408535</v>
      </c>
      <c r="K8" s="1">
        <v>3.6416051705393304</v>
      </c>
      <c r="R8" s="6"/>
      <c r="T8" s="1" t="s">
        <v>13</v>
      </c>
      <c r="U8" s="1">
        <f>I4*I5+J4*J5+K4*K5+L4*L5+M4*M5</f>
        <v>3075</v>
      </c>
    </row>
    <row r="9" spans="3:21" x14ac:dyDescent="0.35">
      <c r="J9" s="1">
        <v>0.93882569526426818</v>
      </c>
      <c r="K9" s="1">
        <v>3.2159813101635186</v>
      </c>
      <c r="R9" s="6"/>
    </row>
    <row r="10" spans="3:21" x14ac:dyDescent="0.35">
      <c r="J10" s="1">
        <v>46.040197726149295</v>
      </c>
      <c r="K10" s="1">
        <v>3</v>
      </c>
      <c r="R10" s="6"/>
    </row>
    <row r="11" spans="3:21" x14ac:dyDescent="0.35">
      <c r="J11" s="1">
        <v>476.17239263803685</v>
      </c>
      <c r="K11" s="1">
        <v>31.027607361963184</v>
      </c>
      <c r="R11" s="6" t="s">
        <v>22</v>
      </c>
      <c r="S11" s="1">
        <v>51.3</v>
      </c>
    </row>
    <row r="12" spans="3:21" x14ac:dyDescent="0.35">
      <c r="O12" s="1" t="s">
        <v>7</v>
      </c>
      <c r="P12" s="1">
        <f>FINV(0.05,1,3)</f>
        <v>10.127964486013932</v>
      </c>
      <c r="R12" s="6" t="s">
        <v>23</v>
      </c>
      <c r="S12" s="1">
        <v>-0.9</v>
      </c>
    </row>
    <row r="13" spans="3:21" x14ac:dyDescent="0.35">
      <c r="H13" s="6" t="s">
        <v>40</v>
      </c>
      <c r="I13" s="1">
        <f>-0.9*U3/U4</f>
        <v>-0.79300699300699296</v>
      </c>
      <c r="R13" s="6"/>
    </row>
    <row r="14" spans="3:21" x14ac:dyDescent="0.35">
      <c r="R14" s="6" t="s">
        <v>14</v>
      </c>
      <c r="S14" s="1">
        <f>51.3-0.9*I4</f>
        <v>37.799999999999997</v>
      </c>
    </row>
    <row r="15" spans="3:21" x14ac:dyDescent="0.35">
      <c r="H15" s="1" t="s">
        <v>53</v>
      </c>
      <c r="R15" s="6" t="s">
        <v>15</v>
      </c>
      <c r="S15" s="1">
        <f>51.3-0.9*J4</f>
        <v>26.999999999999996</v>
      </c>
    </row>
    <row r="16" spans="3:21" x14ac:dyDescent="0.35">
      <c r="H16" s="1">
        <f>51.3-0.9*35</f>
        <v>19.799999999999997</v>
      </c>
      <c r="R16" s="6" t="s">
        <v>16</v>
      </c>
      <c r="S16" s="1">
        <f>51.3-0.9*K4</f>
        <v>40.5</v>
      </c>
    </row>
    <row r="17" spans="8:19" x14ac:dyDescent="0.35">
      <c r="R17" s="6" t="s">
        <v>17</v>
      </c>
      <c r="S17" s="1">
        <f>51.3-0.9*L4</f>
        <v>13.499999999999993</v>
      </c>
    </row>
    <row r="18" spans="8:19" x14ac:dyDescent="0.35">
      <c r="H18" s="1" t="s">
        <v>27</v>
      </c>
      <c r="R18" s="6" t="s">
        <v>18</v>
      </c>
      <c r="S18" s="1">
        <f>51.3-0.9*M4</f>
        <v>24.299999999999997</v>
      </c>
    </row>
    <row r="19" spans="8:19" x14ac:dyDescent="0.35">
      <c r="H19" s="1" t="s">
        <v>31</v>
      </c>
      <c r="J19" s="1" t="s">
        <v>30</v>
      </c>
      <c r="K19" s="1">
        <v>0.95</v>
      </c>
      <c r="R19" s="6"/>
    </row>
    <row r="20" spans="8:19" x14ac:dyDescent="0.35">
      <c r="J20" s="1" t="s">
        <v>29</v>
      </c>
      <c r="K20" s="1">
        <v>35</v>
      </c>
      <c r="R20" s="6" t="s">
        <v>19</v>
      </c>
      <c r="S20" s="1">
        <f>(S14-U4)^2+(S15-U4)^2+(S16-U4)^2+(S17-U4)^2+(S18-U4)^2</f>
        <v>475.31000000000017</v>
      </c>
    </row>
    <row r="21" spans="8:19" x14ac:dyDescent="0.35">
      <c r="H21" s="1" t="s">
        <v>32</v>
      </c>
      <c r="J21" s="1" t="s">
        <v>28</v>
      </c>
      <c r="K21" s="1">
        <f>SUMSQ(I4:M4)</f>
        <v>3762</v>
      </c>
      <c r="R21" s="6" t="s">
        <v>20</v>
      </c>
      <c r="S21" s="1">
        <f>(S14-I5)^2+(S15-J5)^2+(S16-K5)^2+(S17-L5)^2+(S18-M5)^2</f>
        <v>31.029999999999994</v>
      </c>
    </row>
    <row r="22" spans="8:19" x14ac:dyDescent="0.35">
      <c r="H22" s="1">
        <f>H16-K22</f>
        <v>7.8478628975466052</v>
      </c>
      <c r="K22" s="1">
        <f>P6*SQRT(S21/3)*SQRT(1+1/5+((K20-U3)^2/(K21-5*U3^2)))</f>
        <v>11.952137102453392</v>
      </c>
      <c r="R22" s="6"/>
    </row>
    <row r="23" spans="8:19" x14ac:dyDescent="0.35">
      <c r="H23" s="1" t="s">
        <v>33</v>
      </c>
      <c r="R23" s="6" t="s">
        <v>24</v>
      </c>
      <c r="S23" s="1">
        <f>(S20/1)/(S21/(5-1-1))</f>
        <v>45.953271028037406</v>
      </c>
    </row>
    <row r="24" spans="8:19" x14ac:dyDescent="0.35">
      <c r="H24" s="1">
        <f>H16+K22</f>
        <v>31.752137102453389</v>
      </c>
      <c r="R24" s="6"/>
      <c r="S24" s="1" t="s">
        <v>64</v>
      </c>
    </row>
    <row r="25" spans="8:19" x14ac:dyDescent="0.35">
      <c r="R25" s="6" t="s">
        <v>25</v>
      </c>
      <c r="S25" s="1">
        <f>S20/(S20+S21)</f>
        <v>0.93871706758304707</v>
      </c>
    </row>
    <row r="26" spans="8:19" x14ac:dyDescent="0.35">
      <c r="H26" s="1" t="s">
        <v>54</v>
      </c>
      <c r="R26" s="6"/>
    </row>
    <row r="27" spans="8:19" x14ac:dyDescent="0.35">
      <c r="H27" s="1" t="s">
        <v>34</v>
      </c>
    </row>
    <row r="28" spans="8:19" x14ac:dyDescent="0.35">
      <c r="R28" s="6"/>
    </row>
    <row r="30" spans="8:19" x14ac:dyDescent="0.35">
      <c r="H30" s="1" t="s">
        <v>35</v>
      </c>
    </row>
    <row r="32" spans="8:19" x14ac:dyDescent="0.35">
      <c r="H32" s="1" t="s">
        <v>22</v>
      </c>
      <c r="I32" s="1" t="s">
        <v>23</v>
      </c>
      <c r="J32" s="1" t="s">
        <v>37</v>
      </c>
      <c r="K32" s="1" t="s">
        <v>20</v>
      </c>
      <c r="L32" s="1" t="s">
        <v>38</v>
      </c>
      <c r="M32" s="1" t="s">
        <v>9</v>
      </c>
      <c r="N32" s="1" t="s">
        <v>39</v>
      </c>
    </row>
    <row r="33" spans="7:18" x14ac:dyDescent="0.35">
      <c r="H33" s="1">
        <v>51.3</v>
      </c>
      <c r="I33" s="1">
        <v>-0.9</v>
      </c>
      <c r="J33" s="1">
        <f>P7</f>
        <v>2.3533634348018233</v>
      </c>
      <c r="K33" s="1">
        <f>S21</f>
        <v>31.029999999999994</v>
      </c>
      <c r="L33" s="1">
        <v>5</v>
      </c>
      <c r="M33" s="1">
        <f>U3</f>
        <v>25.2</v>
      </c>
      <c r="N33" s="1">
        <f>K21</f>
        <v>3762</v>
      </c>
    </row>
    <row r="36" spans="7:18" x14ac:dyDescent="0.35">
      <c r="G36" s="1" t="s">
        <v>59</v>
      </c>
      <c r="H36" s="1">
        <v>27.353685626457146</v>
      </c>
      <c r="I36" s="1">
        <f>H33+I33*H36+J33*SQRT(K33/(L33-2))*SQRT(1+1/L33+(H36-M33)^2/(N33-L33*M33^2))</f>
        <v>35.000001756279751</v>
      </c>
    </row>
    <row r="43" spans="7:18" x14ac:dyDescent="0.35">
      <c r="H43" s="3" t="s">
        <v>0</v>
      </c>
      <c r="I43" s="4">
        <v>1</v>
      </c>
      <c r="J43" s="4">
        <v>2</v>
      </c>
      <c r="K43" s="4">
        <v>3</v>
      </c>
      <c r="L43" s="4">
        <v>4</v>
      </c>
      <c r="M43" s="5">
        <v>5</v>
      </c>
      <c r="O43" s="1" t="s">
        <v>56</v>
      </c>
      <c r="P43" s="1" t="s">
        <v>57</v>
      </c>
      <c r="R43" s="1" t="s">
        <v>58</v>
      </c>
    </row>
    <row r="44" spans="7:18" x14ac:dyDescent="0.35">
      <c r="G44" s="1" t="s">
        <v>62</v>
      </c>
      <c r="H44" s="2" t="s">
        <v>1</v>
      </c>
      <c r="I44" s="6">
        <v>15</v>
      </c>
      <c r="J44" s="6">
        <v>27</v>
      </c>
      <c r="K44" s="6">
        <v>12</v>
      </c>
      <c r="L44" s="6">
        <v>42</v>
      </c>
      <c r="M44" s="7">
        <v>30</v>
      </c>
      <c r="O44" s="1">
        <f>SUM(I44:M44)</f>
        <v>126</v>
      </c>
      <c r="P44" s="1">
        <f>SUMSQ(I44:M44)</f>
        <v>3762</v>
      </c>
      <c r="R44" s="1">
        <f>O44/5</f>
        <v>25.2</v>
      </c>
    </row>
    <row r="45" spans="7:18" x14ac:dyDescent="0.35">
      <c r="G45" s="1" t="s">
        <v>63</v>
      </c>
      <c r="H45" s="2" t="s">
        <v>41</v>
      </c>
      <c r="I45" s="6">
        <v>7</v>
      </c>
      <c r="J45" s="6">
        <v>9</v>
      </c>
      <c r="K45" s="6">
        <v>5</v>
      </c>
      <c r="L45" s="6">
        <v>8</v>
      </c>
      <c r="M45" s="7">
        <v>12</v>
      </c>
      <c r="O45" s="1">
        <f t="shared" ref="O45:O46" si="0">SUM(I45:M45)</f>
        <v>41</v>
      </c>
      <c r="P45" s="1">
        <f t="shared" ref="P45:P46" si="1">SUMSQ(I45:M45)</f>
        <v>363</v>
      </c>
      <c r="R45" s="1">
        <f t="shared" ref="R45:R46" si="2">O45/5</f>
        <v>8.1999999999999993</v>
      </c>
    </row>
    <row r="46" spans="7:18" x14ac:dyDescent="0.35">
      <c r="G46" s="1" t="s">
        <v>61</v>
      </c>
      <c r="H46" s="8" t="s">
        <v>2</v>
      </c>
      <c r="I46" s="9">
        <v>40</v>
      </c>
      <c r="J46" s="9">
        <v>25</v>
      </c>
      <c r="K46" s="9">
        <v>38</v>
      </c>
      <c r="L46" s="9">
        <v>12</v>
      </c>
      <c r="M46" s="10">
        <v>28</v>
      </c>
      <c r="O46" s="1">
        <f t="shared" si="0"/>
        <v>143</v>
      </c>
      <c r="P46" s="1">
        <f t="shared" si="1"/>
        <v>4597</v>
      </c>
      <c r="R46" s="1">
        <f t="shared" si="2"/>
        <v>28.6</v>
      </c>
    </row>
    <row r="47" spans="7:18" x14ac:dyDescent="0.35">
      <c r="O47" s="1" t="s">
        <v>56</v>
      </c>
    </row>
    <row r="48" spans="7:18" x14ac:dyDescent="0.35">
      <c r="K48" s="1">
        <f t="array" ref="K48:M52">LINEST(I46:M46,I44:M45,1,1)</f>
        <v>0.99563172043010728</v>
      </c>
      <c r="L48" s="1">
        <v>-1.0209453405017921</v>
      </c>
      <c r="M48" s="1">
        <v>46.16364247311828</v>
      </c>
      <c r="O48" s="1" t="s">
        <v>44</v>
      </c>
      <c r="P48" s="1">
        <f>SUMPRODUCT(I44:M44,I45:M45)</f>
        <v>1104</v>
      </c>
    </row>
    <row r="49" spans="8:16" x14ac:dyDescent="0.35">
      <c r="H49" s="1" t="s">
        <v>42</v>
      </c>
      <c r="K49" s="1">
        <v>0.59504043590089084</v>
      </c>
      <c r="L49" s="1">
        <v>0.12716535956554231</v>
      </c>
      <c r="M49" s="1">
        <v>4.2088617411976568</v>
      </c>
      <c r="O49" s="1" t="s">
        <v>45</v>
      </c>
      <c r="P49" s="1">
        <f>SUMPRODUCT(I44:M44,I46:M46)</f>
        <v>3075</v>
      </c>
    </row>
    <row r="50" spans="8:16" x14ac:dyDescent="0.35">
      <c r="H50" s="1" t="s">
        <v>48</v>
      </c>
      <c r="K50" s="1">
        <v>0.97450887329975244</v>
      </c>
      <c r="L50" s="1">
        <v>2.5425478817876361</v>
      </c>
      <c r="M50" s="1" t="e">
        <v>#N/A</v>
      </c>
      <c r="O50" s="1" t="s">
        <v>46</v>
      </c>
      <c r="P50" s="1">
        <f>SUMPRODUCT(I45:M45,I46:M46)</f>
        <v>1127</v>
      </c>
    </row>
    <row r="51" spans="8:16" x14ac:dyDescent="0.35">
      <c r="H51" s="1" t="s">
        <v>47</v>
      </c>
      <c r="K51" s="1">
        <v>38.229337006523387</v>
      </c>
      <c r="L51" s="1">
        <v>2</v>
      </c>
      <c r="M51" s="1" t="e">
        <v>#N/A</v>
      </c>
    </row>
    <row r="52" spans="8:16" x14ac:dyDescent="0.35">
      <c r="K52" s="1">
        <v>494.27090053763447</v>
      </c>
      <c r="L52" s="1">
        <v>12.92909946236559</v>
      </c>
      <c r="M52" s="1" t="e">
        <v>#N/A</v>
      </c>
    </row>
    <row r="54" spans="8:16" x14ac:dyDescent="0.35">
      <c r="H54" s="1" t="s">
        <v>22</v>
      </c>
      <c r="I54" s="1">
        <v>46.16</v>
      </c>
    </row>
    <row r="55" spans="8:16" x14ac:dyDescent="0.35">
      <c r="H55" s="1" t="s">
        <v>23</v>
      </c>
      <c r="I55" s="1">
        <f>-1.02</f>
        <v>-1.02</v>
      </c>
      <c r="K55" s="11" t="s">
        <v>55</v>
      </c>
      <c r="L55" s="11"/>
      <c r="M55" s="11"/>
    </row>
    <row r="56" spans="8:16" x14ac:dyDescent="0.35">
      <c r="H56" s="1" t="s">
        <v>49</v>
      </c>
      <c r="I56" s="1">
        <v>0.99</v>
      </c>
    </row>
    <row r="59" spans="8:16" x14ac:dyDescent="0.35">
      <c r="H59" s="1" t="s">
        <v>14</v>
      </c>
      <c r="I59" s="1">
        <f>I54+I55*I44+I56*I45</f>
        <v>37.789999999999992</v>
      </c>
      <c r="L59" s="1" t="s">
        <v>19</v>
      </c>
      <c r="M59" s="1">
        <f>(I59-R46)^2+(I60-R46)^2+(I61-R46)^2+(I62-R46)^2+(I63-R46)^2</f>
        <v>493.78909999999996</v>
      </c>
    </row>
    <row r="60" spans="8:16" x14ac:dyDescent="0.35">
      <c r="H60" s="1" t="s">
        <v>15</v>
      </c>
      <c r="I60" s="1">
        <f>I54+I55*J44+I56*J45</f>
        <v>27.529999999999998</v>
      </c>
      <c r="L60" s="1" t="s">
        <v>20</v>
      </c>
      <c r="M60" s="1">
        <f>(I46-I59)^2+(I60-J46)^2+(I61-K46)^2+(I62-L46)^2+(I63-M46)^2</f>
        <v>12.933100000000035</v>
      </c>
    </row>
    <row r="61" spans="8:16" x14ac:dyDescent="0.35">
      <c r="H61" s="1" t="s">
        <v>16</v>
      </c>
      <c r="I61" s="1">
        <f>I54+I55*K44+I56*K45</f>
        <v>38.869999999999997</v>
      </c>
    </row>
    <row r="62" spans="8:16" x14ac:dyDescent="0.35">
      <c r="H62" s="1" t="s">
        <v>17</v>
      </c>
      <c r="I62" s="1">
        <f>I54+I55*L44+I56*L45</f>
        <v>11.239999999999993</v>
      </c>
      <c r="L62" s="1" t="s">
        <v>24</v>
      </c>
      <c r="M62" s="1">
        <f>(M59/2)/(M60/(5-2-1))</f>
        <v>38.180258406723723</v>
      </c>
    </row>
    <row r="63" spans="8:16" x14ac:dyDescent="0.35">
      <c r="H63" s="1" t="s">
        <v>18</v>
      </c>
      <c r="I63" s="1">
        <f>I54+I55*M44+I56*M45</f>
        <v>27.439999999999994</v>
      </c>
      <c r="L63" s="1" t="s">
        <v>50</v>
      </c>
      <c r="M63" s="1">
        <f>FINV(0.05,2,2)</f>
        <v>18.999999999999996</v>
      </c>
    </row>
    <row r="66" spans="8:13" x14ac:dyDescent="0.35">
      <c r="L66" s="1" t="s">
        <v>51</v>
      </c>
      <c r="M66" s="1">
        <f>I55*R44/R46</f>
        <v>-0.89874125874125876</v>
      </c>
    </row>
    <row r="67" spans="8:13" x14ac:dyDescent="0.35">
      <c r="H67" s="1">
        <f>I54+I55*35+I56*10</f>
        <v>20.359999999999992</v>
      </c>
      <c r="L67" s="1" t="s">
        <v>52</v>
      </c>
      <c r="M67" s="1">
        <f>I56*R45/R46</f>
        <v>0.2838461538461538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47B6-8978-480A-8D25-9A6D782C6205}">
  <dimension ref="A1"/>
  <sheetViews>
    <sheetView topLeftCell="A6" workbookViewId="0">
      <selection activeCell="N19" sqref="N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Юлиана Новицкая</dc:creator>
  <cp:lastModifiedBy>Артем Харкевич</cp:lastModifiedBy>
  <dcterms:created xsi:type="dcterms:W3CDTF">2015-06-05T18:19:34Z</dcterms:created>
  <dcterms:modified xsi:type="dcterms:W3CDTF">2025-05-07T13:12:37Z</dcterms:modified>
</cp:coreProperties>
</file>