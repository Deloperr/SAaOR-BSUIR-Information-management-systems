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2A36D36D-2DD8-4627-B2D0-8972CA446487}" xr6:coauthVersionLast="47" xr6:coauthVersionMax="47" xr10:uidLastSave="{00000000-0000-0000-0000-000000000000}"/>
  <bookViews>
    <workbookView xWindow="-108" yWindow="-108" windowWidth="23256" windowHeight="12456" xr2:uid="{620B613E-B973-4483-A8FF-3CA6F5D989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D23" i="1"/>
  <c r="D11" i="1"/>
  <c r="E27" i="1" s="1"/>
  <c r="C129" i="1"/>
  <c r="G12" i="1"/>
  <c r="C27" i="1" l="1"/>
  <c r="F38" i="1"/>
  <c r="D43" i="1" s="1"/>
  <c r="C17" i="1"/>
  <c r="E22" i="1" s="1"/>
  <c r="C141" i="1"/>
  <c r="C126" i="1"/>
  <c r="J133" i="1"/>
  <c r="H132" i="1"/>
  <c r="G117" i="1"/>
  <c r="H109" i="1"/>
  <c r="K109" i="1"/>
  <c r="F103" i="1"/>
  <c r="G103" i="1"/>
  <c r="H103" i="1"/>
  <c r="C127" i="1" s="1"/>
  <c r="I103" i="1"/>
  <c r="J103" i="1"/>
  <c r="D118" i="1" s="1"/>
  <c r="K103" i="1"/>
  <c r="I132" i="1" s="1"/>
  <c r="L103" i="1"/>
  <c r="J118" i="1" s="1"/>
  <c r="M103" i="1"/>
  <c r="E103" i="1"/>
  <c r="G132" i="1" s="1"/>
  <c r="F104" i="1"/>
  <c r="D117" i="1" s="1"/>
  <c r="G104" i="1"/>
  <c r="E133" i="1" s="1"/>
  <c r="H104" i="1"/>
  <c r="I104" i="1"/>
  <c r="J104" i="1"/>
  <c r="K104" i="1"/>
  <c r="L104" i="1"/>
  <c r="M104" i="1"/>
  <c r="E104" i="1"/>
  <c r="D12" i="1"/>
  <c r="D69" i="1" s="1"/>
  <c r="D99" i="1"/>
  <c r="C97" i="1"/>
  <c r="C77" i="1"/>
  <c r="C78" i="1"/>
  <c r="D77" i="1"/>
  <c r="C15" i="1"/>
  <c r="E12" i="1"/>
  <c r="D98" i="1" s="1"/>
  <c r="F12" i="1"/>
  <c r="G39" i="1" s="1"/>
  <c r="D87" i="1"/>
  <c r="H12" i="1"/>
  <c r="I12" i="1"/>
  <c r="G38" i="1" s="1"/>
  <c r="J12" i="1"/>
  <c r="K12" i="1"/>
  <c r="C55" i="1" s="1"/>
  <c r="L12" i="1"/>
  <c r="H11" i="1"/>
  <c r="E11" i="1"/>
  <c r="F11" i="1"/>
  <c r="G11" i="1"/>
  <c r="I11" i="1"/>
  <c r="I43" i="1" s="1"/>
  <c r="J11" i="1"/>
  <c r="K11" i="1"/>
  <c r="C88" i="1" s="1"/>
  <c r="L11" i="1"/>
  <c r="G59" i="1" l="1"/>
  <c r="L93" i="1"/>
  <c r="G23" i="1"/>
  <c r="L43" i="1"/>
  <c r="H43" i="1"/>
  <c r="J43" i="1"/>
  <c r="G43" i="1"/>
  <c r="D55" i="1"/>
  <c r="D60" i="1" s="1"/>
  <c r="D88" i="1"/>
  <c r="K93" i="1" s="1"/>
  <c r="K44" i="1"/>
  <c r="J83" i="1"/>
  <c r="E109" i="1"/>
  <c r="F118" i="1"/>
  <c r="F132" i="1"/>
  <c r="C143" i="1"/>
  <c r="D89" i="1"/>
  <c r="C79" i="1"/>
  <c r="G84" i="1" s="1"/>
  <c r="I93" i="1"/>
  <c r="C18" i="1"/>
  <c r="C53" i="1"/>
  <c r="L58" i="1" s="1"/>
  <c r="I44" i="1"/>
  <c r="F58" i="1"/>
  <c r="C68" i="1"/>
  <c r="D67" i="1"/>
  <c r="E72" i="1" s="1"/>
  <c r="I83" i="1"/>
  <c r="L92" i="1"/>
  <c r="H93" i="1"/>
  <c r="D109" i="1"/>
  <c r="E118" i="1"/>
  <c r="E132" i="1"/>
  <c r="C142" i="1"/>
  <c r="K117" i="1"/>
  <c r="F117" i="1"/>
  <c r="C118" i="1"/>
  <c r="C144" i="1"/>
  <c r="E43" i="1"/>
  <c r="F43" i="1"/>
  <c r="D79" i="1"/>
  <c r="L23" i="1"/>
  <c r="F39" i="1"/>
  <c r="G44" i="1"/>
  <c r="F37" i="1"/>
  <c r="G83" i="1"/>
  <c r="J92" i="1"/>
  <c r="F93" i="1"/>
  <c r="J117" i="1"/>
  <c r="H117" i="1"/>
  <c r="C133" i="1"/>
  <c r="J93" i="1"/>
  <c r="E29" i="1"/>
  <c r="J44" i="1"/>
  <c r="C67" i="1"/>
  <c r="K42" i="1"/>
  <c r="D68" i="1"/>
  <c r="G93" i="1"/>
  <c r="K23" i="1"/>
  <c r="F44" i="1"/>
  <c r="L73" i="1"/>
  <c r="G37" i="1"/>
  <c r="E93" i="1"/>
  <c r="I117" i="1"/>
  <c r="K133" i="1"/>
  <c r="J109" i="1"/>
  <c r="E117" i="1"/>
  <c r="D132" i="1"/>
  <c r="I133" i="1"/>
  <c r="F22" i="1"/>
  <c r="I109" i="1"/>
  <c r="H118" i="1"/>
  <c r="K132" i="1"/>
  <c r="H133" i="1"/>
  <c r="G22" i="1"/>
  <c r="K43" i="1"/>
  <c r="D53" i="1"/>
  <c r="K58" i="1" s="1"/>
  <c r="J73" i="1"/>
  <c r="L82" i="1"/>
  <c r="D97" i="1"/>
  <c r="C54" i="1"/>
  <c r="I73" i="1"/>
  <c r="D78" i="1"/>
  <c r="C87" i="1"/>
  <c r="I92" i="1" s="1"/>
  <c r="C98" i="1"/>
  <c r="E42" i="1"/>
  <c r="D54" i="1"/>
  <c r="L59" i="1" s="1"/>
  <c r="G109" i="1"/>
  <c r="K118" i="1"/>
  <c r="J132" i="1"/>
  <c r="G133" i="1"/>
  <c r="C125" i="1"/>
  <c r="F109" i="1"/>
  <c r="I118" i="1"/>
  <c r="F133" i="1"/>
  <c r="C114" i="1"/>
  <c r="G118" i="1"/>
  <c r="D133" i="1"/>
  <c r="I22" i="1"/>
  <c r="H22" i="1"/>
  <c r="K22" i="1"/>
  <c r="J22" i="1"/>
  <c r="D22" i="1"/>
  <c r="L22" i="1"/>
  <c r="E30" i="1"/>
  <c r="D73" i="1"/>
  <c r="C69" i="1"/>
  <c r="K74" i="1" s="1"/>
  <c r="C28" i="1"/>
  <c r="D59" i="1"/>
  <c r="D93" i="1"/>
  <c r="C29" i="1"/>
  <c r="C30" i="1"/>
  <c r="C99" i="1"/>
  <c r="C89" i="1"/>
  <c r="I94" i="1" s="1"/>
  <c r="E28" i="1"/>
  <c r="E60" i="1" s="1"/>
  <c r="H84" i="1"/>
  <c r="J94" i="1"/>
  <c r="E84" i="1"/>
  <c r="G94" i="1"/>
  <c r="J84" i="1"/>
  <c r="L94" i="1"/>
  <c r="I82" i="1"/>
  <c r="K82" i="1"/>
  <c r="H82" i="1"/>
  <c r="G82" i="1"/>
  <c r="F82" i="1"/>
  <c r="D82" i="1"/>
  <c r="E82" i="1"/>
  <c r="J82" i="1"/>
  <c r="I84" i="1" l="1"/>
  <c r="D84" i="1"/>
  <c r="F84" i="1"/>
  <c r="D72" i="1"/>
  <c r="G58" i="1"/>
  <c r="K94" i="1"/>
  <c r="E94" i="1"/>
  <c r="D94" i="1"/>
  <c r="F94" i="1"/>
  <c r="K84" i="1"/>
  <c r="H94" i="1"/>
  <c r="L84" i="1"/>
  <c r="L74" i="1"/>
  <c r="E58" i="1"/>
  <c r="F72" i="1"/>
  <c r="E74" i="1"/>
  <c r="D83" i="1"/>
  <c r="E83" i="1"/>
  <c r="L83" i="1"/>
  <c r="H42" i="1"/>
  <c r="F42" i="1"/>
  <c r="G42" i="1"/>
  <c r="D42" i="1"/>
  <c r="G73" i="1"/>
  <c r="K73" i="1"/>
  <c r="E73" i="1"/>
  <c r="F73" i="1"/>
  <c r="I59" i="1"/>
  <c r="I58" i="1"/>
  <c r="F134" i="1"/>
  <c r="C134" i="1"/>
  <c r="E134" i="1"/>
  <c r="G134" i="1"/>
  <c r="H134" i="1"/>
  <c r="I134" i="1"/>
  <c r="J134" i="1"/>
  <c r="K134" i="1"/>
  <c r="D134" i="1"/>
  <c r="H92" i="1"/>
  <c r="F92" i="1"/>
  <c r="G92" i="1"/>
  <c r="D92" i="1"/>
  <c r="D74" i="1"/>
  <c r="H74" i="1"/>
  <c r="J72" i="1"/>
  <c r="F59" i="1"/>
  <c r="K59" i="1"/>
  <c r="H59" i="1"/>
  <c r="E59" i="1"/>
  <c r="K83" i="1"/>
  <c r="L42" i="1"/>
  <c r="L72" i="1"/>
  <c r="H72" i="1"/>
  <c r="F74" i="1"/>
  <c r="K72" i="1"/>
  <c r="I42" i="1"/>
  <c r="J42" i="1"/>
  <c r="D58" i="1"/>
  <c r="H58" i="1"/>
  <c r="H73" i="1"/>
  <c r="I72" i="1"/>
  <c r="G72" i="1"/>
  <c r="G74" i="1"/>
  <c r="E44" i="1"/>
  <c r="D44" i="1"/>
  <c r="K60" i="1"/>
  <c r="L60" i="1"/>
  <c r="J60" i="1"/>
  <c r="H60" i="1"/>
  <c r="I60" i="1"/>
  <c r="H44" i="1"/>
  <c r="G60" i="1"/>
  <c r="F60" i="1"/>
  <c r="L44" i="1"/>
  <c r="F23" i="1"/>
  <c r="J23" i="1"/>
  <c r="H23" i="1"/>
  <c r="I23" i="1"/>
  <c r="E23" i="1"/>
  <c r="J58" i="1"/>
  <c r="H83" i="1"/>
  <c r="E92" i="1"/>
  <c r="J59" i="1"/>
  <c r="K92" i="1"/>
  <c r="F83" i="1"/>
  <c r="J74" i="1"/>
  <c r="I74" i="1"/>
</calcChain>
</file>

<file path=xl/sharedStrings.xml><?xml version="1.0" encoding="utf-8"?>
<sst xmlns="http://schemas.openxmlformats.org/spreadsheetml/2006/main" count="263" uniqueCount="115">
  <si>
    <t>Предприятие</t>
  </si>
  <si>
    <t>Доля продукции на экспорт, %</t>
  </si>
  <si>
    <t>Доля высокотехн. прод, %</t>
  </si>
  <si>
    <t>П1</t>
  </si>
  <si>
    <t>П2</t>
  </si>
  <si>
    <t>П3</t>
  </si>
  <si>
    <t>П4</t>
  </si>
  <si>
    <t>П5</t>
  </si>
  <si>
    <t>П6</t>
  </si>
  <si>
    <t>П7</t>
  </si>
  <si>
    <t>П8</t>
  </si>
  <si>
    <t>П9</t>
  </si>
  <si>
    <t>1.</t>
  </si>
  <si>
    <t>Меры различия</t>
  </si>
  <si>
    <t>Деление на максимальное значение</t>
  </si>
  <si>
    <t>2.</t>
  </si>
  <si>
    <t>А1</t>
  </si>
  <si>
    <t>А2</t>
  </si>
  <si>
    <t>ɕ1</t>
  </si>
  <si>
    <t>ɕ2</t>
  </si>
  <si>
    <t>Мера различия между объектами</t>
  </si>
  <si>
    <t>D1</t>
  </si>
  <si>
    <t>D2</t>
  </si>
  <si>
    <t>D3</t>
  </si>
  <si>
    <t>D4</t>
  </si>
  <si>
    <t>D5</t>
  </si>
  <si>
    <t>Методы К средних</t>
  </si>
  <si>
    <t>К=3(условие)</t>
  </si>
  <si>
    <t>4.</t>
  </si>
  <si>
    <t>s=0</t>
  </si>
  <si>
    <t>К1</t>
  </si>
  <si>
    <t>К2</t>
  </si>
  <si>
    <t>К3</t>
  </si>
  <si>
    <r>
      <t>Р</t>
    </r>
    <r>
      <rPr>
        <sz val="8"/>
        <color theme="1"/>
        <rFont val="Calibri"/>
        <family val="2"/>
        <charset val="204"/>
        <scheme val="minor"/>
      </rPr>
      <t>0,1</t>
    </r>
  </si>
  <si>
    <r>
      <t>Р</t>
    </r>
    <r>
      <rPr>
        <sz val="8"/>
        <color theme="1"/>
        <rFont val="Calibri"/>
        <family val="2"/>
        <charset val="204"/>
        <scheme val="minor"/>
      </rPr>
      <t>0,2</t>
    </r>
    <r>
      <rPr>
        <sz val="11"/>
        <color theme="1"/>
        <rFont val="Calibri"/>
        <family val="2"/>
        <charset val="204"/>
        <scheme val="minor"/>
      </rPr>
      <t/>
    </r>
  </si>
  <si>
    <r>
      <t>Р</t>
    </r>
    <r>
      <rPr>
        <sz val="8"/>
        <color theme="1"/>
        <rFont val="Calibri"/>
        <family val="2"/>
        <charset val="204"/>
        <scheme val="minor"/>
      </rPr>
      <t>0,3</t>
    </r>
    <r>
      <rPr>
        <sz val="11"/>
        <color theme="1"/>
        <rFont val="Calibri"/>
        <family val="2"/>
        <charset val="204"/>
        <scheme val="minor"/>
      </rPr>
      <t/>
    </r>
  </si>
  <si>
    <t>3.</t>
  </si>
  <si>
    <t>D6</t>
  </si>
  <si>
    <t>D7</t>
  </si>
  <si>
    <t>D8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</si>
  <si>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</si>
  <si>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</si>
  <si>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</si>
  <si>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</si>
  <si>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</si>
  <si>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</si>
  <si>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</si>
  <si>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</si>
  <si>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</si>
  <si>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Объект</t>
  </si>
  <si>
    <t>Кластер</t>
  </si>
  <si>
    <t>5.</t>
  </si>
  <si>
    <t>Новые прототипы</t>
  </si>
  <si>
    <r>
      <t>Р</t>
    </r>
    <r>
      <rPr>
        <sz val="8"/>
        <color theme="1"/>
        <rFont val="Calibri"/>
        <family val="2"/>
        <charset val="204"/>
        <scheme val="minor"/>
      </rPr>
      <t>1,1</t>
    </r>
  </si>
  <si>
    <r>
      <t>Р</t>
    </r>
    <r>
      <rPr>
        <sz val="8"/>
        <color theme="1"/>
        <rFont val="Calibri"/>
        <family val="2"/>
        <charset val="204"/>
        <scheme val="minor"/>
      </rPr>
      <t>1,2</t>
    </r>
    <r>
      <rPr>
        <sz val="11"/>
        <color theme="1"/>
        <rFont val="Calibri"/>
        <family val="2"/>
        <charset val="204"/>
        <scheme val="minor"/>
      </rPr>
      <t/>
    </r>
  </si>
  <si>
    <r>
      <t>Р</t>
    </r>
    <r>
      <rPr>
        <sz val="8"/>
        <color theme="1"/>
        <rFont val="Calibri"/>
        <family val="2"/>
        <charset val="204"/>
        <scheme val="minor"/>
      </rPr>
      <t>1,3</t>
    </r>
    <r>
      <rPr>
        <sz val="11"/>
        <color theme="1"/>
        <rFont val="Calibri"/>
        <family val="2"/>
        <charset val="204"/>
        <scheme val="minor"/>
      </rPr>
      <t/>
    </r>
  </si>
  <si>
    <t>s=1</t>
  </si>
  <si>
    <t>s=2</t>
  </si>
  <si>
    <r>
      <t>Р</t>
    </r>
    <r>
      <rPr>
        <sz val="8"/>
        <color theme="1"/>
        <rFont val="Calibri"/>
        <family val="2"/>
        <charset val="204"/>
        <scheme val="minor"/>
      </rPr>
      <t>2,1</t>
    </r>
  </si>
  <si>
    <r>
      <t>Р</t>
    </r>
    <r>
      <rPr>
        <sz val="8"/>
        <color theme="1"/>
        <rFont val="Calibri"/>
        <family val="2"/>
        <charset val="204"/>
        <scheme val="minor"/>
      </rPr>
      <t>2,2</t>
    </r>
    <r>
      <rPr>
        <sz val="11"/>
        <color theme="1"/>
        <rFont val="Calibri"/>
        <family val="2"/>
        <charset val="204"/>
        <scheme val="minor"/>
      </rPr>
      <t/>
    </r>
  </si>
  <si>
    <r>
      <t>Р</t>
    </r>
    <r>
      <rPr>
        <sz val="8"/>
        <color theme="1"/>
        <rFont val="Calibri"/>
        <family val="2"/>
        <charset val="204"/>
        <scheme val="minor"/>
      </rPr>
      <t>2,3</t>
    </r>
    <r>
      <rPr>
        <sz val="11"/>
        <color theme="1"/>
        <rFont val="Calibri"/>
        <family val="2"/>
        <charset val="204"/>
        <scheme val="minor"/>
      </rPr>
      <t/>
    </r>
  </si>
  <si>
    <t>s=3</t>
  </si>
  <si>
    <r>
      <t>Р</t>
    </r>
    <r>
      <rPr>
        <sz val="8"/>
        <color theme="1"/>
        <rFont val="Calibri"/>
        <family val="2"/>
        <charset val="204"/>
        <scheme val="minor"/>
      </rPr>
      <t>3,1</t>
    </r>
  </si>
  <si>
    <r>
      <t>Р</t>
    </r>
    <r>
      <rPr>
        <sz val="8"/>
        <color theme="1"/>
        <rFont val="Calibri"/>
        <family val="2"/>
        <charset val="204"/>
        <scheme val="minor"/>
      </rPr>
      <t>3,2</t>
    </r>
    <r>
      <rPr>
        <sz val="11"/>
        <color theme="1"/>
        <rFont val="Calibri"/>
        <family val="2"/>
        <charset val="204"/>
        <scheme val="minor"/>
      </rPr>
      <t/>
    </r>
  </si>
  <si>
    <r>
      <t>Р</t>
    </r>
    <r>
      <rPr>
        <sz val="8"/>
        <color theme="1"/>
        <rFont val="Calibri"/>
        <family val="2"/>
        <charset val="204"/>
        <scheme val="minor"/>
      </rPr>
      <t>3,3</t>
    </r>
    <r>
      <rPr>
        <sz val="11"/>
        <color theme="1"/>
        <rFont val="Calibri"/>
        <family val="2"/>
        <charset val="204"/>
        <scheme val="minor"/>
      </rPr>
      <t/>
    </r>
  </si>
  <si>
    <t>s=4</t>
  </si>
  <si>
    <t>s=5</t>
  </si>
  <si>
    <r>
      <t>Р</t>
    </r>
    <r>
      <rPr>
        <sz val="8"/>
        <color theme="1"/>
        <rFont val="Calibri"/>
        <family val="2"/>
        <charset val="204"/>
        <scheme val="minor"/>
      </rPr>
      <t>5,1</t>
    </r>
  </si>
  <si>
    <r>
      <t>Р</t>
    </r>
    <r>
      <rPr>
        <sz val="8"/>
        <color theme="1"/>
        <rFont val="Calibri"/>
        <family val="2"/>
        <charset val="204"/>
        <scheme val="minor"/>
      </rPr>
      <t>5,2</t>
    </r>
    <r>
      <rPr>
        <sz val="11"/>
        <color theme="1"/>
        <rFont val="Calibri"/>
        <family val="2"/>
        <charset val="204"/>
        <scheme val="minor"/>
      </rPr>
      <t/>
    </r>
  </si>
  <si>
    <r>
      <t>Р</t>
    </r>
    <r>
      <rPr>
        <sz val="8"/>
        <color theme="1"/>
        <rFont val="Calibri"/>
        <family val="2"/>
        <charset val="204"/>
        <scheme val="minor"/>
      </rPr>
      <t>5,3</t>
    </r>
    <r>
      <rPr>
        <sz val="11"/>
        <color theme="1"/>
        <rFont val="Calibri"/>
        <family val="2"/>
        <charset val="204"/>
        <scheme val="minor"/>
      </rPr>
      <t/>
    </r>
  </si>
  <si>
    <r>
      <t>Р</t>
    </r>
    <r>
      <rPr>
        <sz val="8"/>
        <color theme="1"/>
        <rFont val="Calibri"/>
        <family val="2"/>
        <charset val="204"/>
        <scheme val="minor"/>
      </rPr>
      <t>4,1</t>
    </r>
  </si>
  <si>
    <r>
      <t>Р</t>
    </r>
    <r>
      <rPr>
        <sz val="8"/>
        <color theme="1"/>
        <rFont val="Calibri"/>
        <family val="2"/>
        <charset val="204"/>
        <scheme val="minor"/>
      </rPr>
      <t>4,2</t>
    </r>
    <r>
      <rPr>
        <sz val="11"/>
        <color theme="1"/>
        <rFont val="Calibri"/>
        <family val="2"/>
        <charset val="204"/>
        <scheme val="minor"/>
      </rPr>
      <t/>
    </r>
  </si>
  <si>
    <r>
      <t>Р</t>
    </r>
    <r>
      <rPr>
        <sz val="8"/>
        <color theme="1"/>
        <rFont val="Calibri"/>
        <family val="2"/>
        <charset val="204"/>
        <scheme val="minor"/>
      </rPr>
      <t>4,3</t>
    </r>
    <r>
      <rPr>
        <sz val="11"/>
        <color theme="1"/>
        <rFont val="Calibri"/>
        <family val="2"/>
        <charset val="204"/>
        <scheme val="minor"/>
      </rPr>
      <t/>
    </r>
  </si>
  <si>
    <t>Метод максимина</t>
  </si>
  <si>
    <t>(K=1)</t>
  </si>
  <si>
    <t>X3</t>
  </si>
  <si>
    <t>X4</t>
  </si>
  <si>
    <t>X5</t>
  </si>
  <si>
    <t>X6</t>
  </si>
  <si>
    <t>X7</t>
  </si>
  <si>
    <t>X8</t>
  </si>
  <si>
    <t>X9</t>
  </si>
  <si>
    <t>(K=2)</t>
  </si>
  <si>
    <t>T</t>
  </si>
  <si>
    <t>X1</t>
  </si>
  <si>
    <t>X2</t>
  </si>
  <si>
    <t>P1=X1</t>
  </si>
  <si>
    <t>P2=X6</t>
  </si>
  <si>
    <t>Y1=Х6</t>
  </si>
  <si>
    <t>Y2=Х4</t>
  </si>
  <si>
    <t>отличается от кластера</t>
  </si>
  <si>
    <t>Р4</t>
  </si>
  <si>
    <t>Р3</t>
  </si>
  <si>
    <t>Х1, Х6, Х4</t>
  </si>
  <si>
    <t>D14</t>
  </si>
  <si>
    <t>D16</t>
  </si>
  <si>
    <t>D46</t>
  </si>
  <si>
    <t>6.</t>
  </si>
  <si>
    <t>P3=X4</t>
  </si>
  <si>
    <t>Y3=X3</t>
  </si>
  <si>
    <t>Y4=X6</t>
  </si>
  <si>
    <t>Y5=X4</t>
  </si>
  <si>
    <t>P5</t>
  </si>
  <si>
    <t>P6</t>
  </si>
  <si>
    <t>P7</t>
  </si>
  <si>
    <t>X1, Х3, Х4,Х6</t>
  </si>
  <si>
    <t xml:space="preserve">П1, П3,П7 </t>
  </si>
  <si>
    <t>П2,П5,П6,П8-К2</t>
  </si>
  <si>
    <t>П4,П9-К3</t>
  </si>
  <si>
    <t>ср.знач</t>
  </si>
  <si>
    <t>станд отклонение</t>
  </si>
  <si>
    <t>(евклидово расстояние)</t>
  </si>
  <si>
    <t>(объект-прототип)</t>
  </si>
  <si>
    <t>Стандартизация</t>
  </si>
  <si>
    <t>Пороговое расстояние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</si>
</sst>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/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0" fillId="0" borderId="5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29</xdr:row>
      <xdr:rowOff>148590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79F3F1-4F47-C82B-CF76-25EE113DC236}"/>
            </a:ext>
          </a:extLst>
        </xdr:cNvPr>
        <xdr:cNvSpPr txBox="1"/>
      </xdr:nvSpPr>
      <xdr:spPr>
        <a:xfrm>
          <a:off x="6629400" y="5482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BY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5379-398B-410E-B558-3C8AB75DBAB5}">
  <dimension ref="A2:W148"/>
  <sheetViews>
    <sheetView tabSelected="1" topLeftCell="A124" workbookViewId="0">
      <selection activeCell="G142" sqref="G142"/>
    </sheetView>
  </sheetViews>
  <sheetFormatPr defaultRowHeight="14.4" x14ac:dyDescent="0.3"/>
  <cols>
    <col min="1" max="16384" width="8.88671875" style="2"/>
  </cols>
  <sheetData>
    <row r="2" spans="1:12" x14ac:dyDescent="0.3">
      <c r="A2" s="6" t="s">
        <v>0</v>
      </c>
      <c r="B2" s="7"/>
      <c r="C2" s="8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">
      <c r="A3" s="6" t="s">
        <v>1</v>
      </c>
      <c r="B3" s="7"/>
      <c r="C3" s="8"/>
      <c r="D3" s="1">
        <v>42</v>
      </c>
      <c r="E3" s="1">
        <v>17</v>
      </c>
      <c r="F3" s="1">
        <v>38</v>
      </c>
      <c r="G3" s="1">
        <v>54</v>
      </c>
      <c r="H3" s="1">
        <v>14</v>
      </c>
      <c r="I3" s="1">
        <v>11</v>
      </c>
      <c r="J3" s="1">
        <v>50</v>
      </c>
      <c r="K3" s="1">
        <v>24</v>
      </c>
      <c r="L3" s="1">
        <v>62</v>
      </c>
    </row>
    <row r="4" spans="1:12" x14ac:dyDescent="0.3">
      <c r="A4" s="6" t="s">
        <v>2</v>
      </c>
      <c r="B4" s="7"/>
      <c r="C4" s="8"/>
      <c r="D4" s="1">
        <v>30</v>
      </c>
      <c r="E4" s="1">
        <v>20</v>
      </c>
      <c r="F4" s="1">
        <v>24</v>
      </c>
      <c r="G4" s="1">
        <v>60</v>
      </c>
      <c r="H4" s="1">
        <v>10</v>
      </c>
      <c r="I4" s="1">
        <v>7</v>
      </c>
      <c r="J4" s="1">
        <v>30</v>
      </c>
      <c r="K4" s="1">
        <v>20</v>
      </c>
      <c r="L4" s="1">
        <v>42</v>
      </c>
    </row>
    <row r="6" spans="1:12" x14ac:dyDescent="0.3">
      <c r="A6" s="2" t="s">
        <v>12</v>
      </c>
      <c r="B6" s="3" t="s">
        <v>13</v>
      </c>
      <c r="C6" s="3"/>
    </row>
    <row r="8" spans="1:12" x14ac:dyDescent="0.3">
      <c r="B8" s="2" t="s">
        <v>14</v>
      </c>
    </row>
    <row r="10" spans="1:12" x14ac:dyDescent="0.3">
      <c r="A10" s="9" t="s">
        <v>0</v>
      </c>
      <c r="B10" s="9"/>
      <c r="C10" s="9"/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</row>
    <row r="11" spans="1:12" x14ac:dyDescent="0.3">
      <c r="A11" s="9" t="s">
        <v>1</v>
      </c>
      <c r="B11" s="9"/>
      <c r="C11" s="9"/>
      <c r="D11" s="1">
        <f>D3/MAX($D$3:$L$3)</f>
        <v>0.67741935483870963</v>
      </c>
      <c r="E11" s="1">
        <f t="shared" ref="E11:L11" si="0">E3/MAX($D$3:$L$3)</f>
        <v>0.27419354838709675</v>
      </c>
      <c r="F11" s="1">
        <f t="shared" si="0"/>
        <v>0.61290322580645162</v>
      </c>
      <c r="G11" s="1">
        <f t="shared" si="0"/>
        <v>0.87096774193548387</v>
      </c>
      <c r="H11" s="1">
        <f>H3/MAX($D$3:$L$3)</f>
        <v>0.22580645161290322</v>
      </c>
      <c r="I11" s="1">
        <f t="shared" si="0"/>
        <v>0.17741935483870969</v>
      </c>
      <c r="J11" s="1">
        <f t="shared" si="0"/>
        <v>0.80645161290322576</v>
      </c>
      <c r="K11" s="1">
        <f t="shared" si="0"/>
        <v>0.38709677419354838</v>
      </c>
      <c r="L11" s="1">
        <f t="shared" si="0"/>
        <v>1</v>
      </c>
    </row>
    <row r="12" spans="1:12" x14ac:dyDescent="0.3">
      <c r="A12" s="9" t="s">
        <v>2</v>
      </c>
      <c r="B12" s="9"/>
      <c r="C12" s="9"/>
      <c r="D12" s="1">
        <f>D4/MAX($D$4:$L$4)</f>
        <v>0.5</v>
      </c>
      <c r="E12" s="1">
        <f t="shared" ref="E12:L12" si="1">E4/MAX($D$4:$L$4)</f>
        <v>0.33333333333333331</v>
      </c>
      <c r="F12" s="1">
        <f t="shared" si="1"/>
        <v>0.4</v>
      </c>
      <c r="G12" s="1">
        <f>G4/MAX($D$4:$L$4)</f>
        <v>1</v>
      </c>
      <c r="H12" s="1">
        <f t="shared" si="1"/>
        <v>0.16666666666666666</v>
      </c>
      <c r="I12" s="1">
        <f t="shared" si="1"/>
        <v>0.11666666666666667</v>
      </c>
      <c r="J12" s="1">
        <f t="shared" si="1"/>
        <v>0.5</v>
      </c>
      <c r="K12" s="1">
        <f t="shared" si="1"/>
        <v>0.33333333333333331</v>
      </c>
      <c r="L12" s="1">
        <f t="shared" si="1"/>
        <v>0.7</v>
      </c>
    </row>
    <row r="14" spans="1:12" x14ac:dyDescent="0.3">
      <c r="A14" s="2" t="s">
        <v>15</v>
      </c>
      <c r="B14" s="2" t="s">
        <v>16</v>
      </c>
      <c r="C14" s="2">
        <f>AVERAGE(D3:L3)</f>
        <v>34.666666666666664</v>
      </c>
      <c r="E14" s="2" t="s">
        <v>109</v>
      </c>
    </row>
    <row r="15" spans="1:12" x14ac:dyDescent="0.3">
      <c r="B15" s="2" t="s">
        <v>17</v>
      </c>
      <c r="C15" s="2">
        <f>AVERAGE(D4:L4)</f>
        <v>27</v>
      </c>
    </row>
    <row r="17" spans="1:23" ht="15.6" x14ac:dyDescent="0.3">
      <c r="B17" s="4" t="s">
        <v>18</v>
      </c>
      <c r="C17" s="2">
        <f>STDEVA(D3:L3,C14)</f>
        <v>17.74510887227488</v>
      </c>
      <c r="E17" s="2" t="s">
        <v>110</v>
      </c>
    </row>
    <row r="18" spans="1:23" ht="15.6" x14ac:dyDescent="0.3">
      <c r="B18" s="4" t="s">
        <v>19</v>
      </c>
      <c r="C18" s="2">
        <f>STDEVA(D4:L4,C15)</f>
        <v>15.376750126227728</v>
      </c>
    </row>
    <row r="20" spans="1:23" x14ac:dyDescent="0.3">
      <c r="A20" s="2">
        <v>3</v>
      </c>
      <c r="B20" s="2" t="s">
        <v>113</v>
      </c>
    </row>
    <row r="21" spans="1:23" x14ac:dyDescent="0.3">
      <c r="A21" s="9" t="s">
        <v>0</v>
      </c>
      <c r="B21" s="9"/>
      <c r="C21" s="9"/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</row>
    <row r="22" spans="1:23" x14ac:dyDescent="0.3">
      <c r="A22" s="9" t="s">
        <v>1</v>
      </c>
      <c r="B22" s="9"/>
      <c r="C22" s="9"/>
      <c r="D22" s="1">
        <f>(D3-$C$14)/$C$17</f>
        <v>0.41325941622093976</v>
      </c>
      <c r="E22" s="1">
        <f>(E3-$C$14)/$C$17</f>
        <v>-0.99557950271408169</v>
      </c>
      <c r="F22" s="1">
        <f>(F3-$C$14)/$C$17</f>
        <v>0.18784518919133633</v>
      </c>
      <c r="G22" s="1">
        <f>(G3-$C$14)/$C$17</f>
        <v>1.08950209730975</v>
      </c>
      <c r="H22" s="1">
        <f t="shared" ref="H22:L22" si="2">(H3-$C$14)/$C$17</f>
        <v>-1.1646401729862843</v>
      </c>
      <c r="I22" s="1">
        <f t="shared" si="2"/>
        <v>-1.3337008432584869</v>
      </c>
      <c r="J22" s="1">
        <f t="shared" si="2"/>
        <v>0.86408787028014666</v>
      </c>
      <c r="K22" s="1">
        <f t="shared" si="2"/>
        <v>-0.60110460541227573</v>
      </c>
      <c r="L22" s="1">
        <f t="shared" si="2"/>
        <v>1.5403305513689569</v>
      </c>
    </row>
    <row r="23" spans="1:23" x14ac:dyDescent="0.3">
      <c r="A23" s="9" t="s">
        <v>2</v>
      </c>
      <c r="B23" s="9"/>
      <c r="C23" s="9"/>
      <c r="D23" s="1">
        <f>(D4-$C$15)/$C$18</f>
        <v>0.195099743142927</v>
      </c>
      <c r="E23" s="1">
        <f t="shared" ref="E23:L23" si="3">(E4-$C$15)/$C$18</f>
        <v>-0.45523273400016301</v>
      </c>
      <c r="F23" s="1">
        <f t="shared" si="3"/>
        <v>-0.195099743142927</v>
      </c>
      <c r="G23" s="1">
        <f t="shared" si="3"/>
        <v>2.1460971745721968</v>
      </c>
      <c r="H23" s="1">
        <f t="shared" si="3"/>
        <v>-1.105565211143253</v>
      </c>
      <c r="I23" s="1">
        <f t="shared" si="3"/>
        <v>-1.3006649542861799</v>
      </c>
      <c r="J23" s="1">
        <f t="shared" si="3"/>
        <v>0.195099743142927</v>
      </c>
      <c r="K23" s="1">
        <f t="shared" si="3"/>
        <v>-0.45523273400016301</v>
      </c>
      <c r="L23" s="1">
        <f t="shared" si="3"/>
        <v>0.97549871571463498</v>
      </c>
    </row>
    <row r="25" spans="1:23" x14ac:dyDescent="0.3">
      <c r="A25" s="2" t="s">
        <v>28</v>
      </c>
      <c r="B25" s="2" t="s">
        <v>20</v>
      </c>
      <c r="F25" s="2" t="s">
        <v>111</v>
      </c>
    </row>
    <row r="27" spans="1:23" x14ac:dyDescent="0.3">
      <c r="B27" s="2" t="s">
        <v>21</v>
      </c>
      <c r="C27" s="2">
        <f>SQRT((D$11-E11)^2+(D$12-E12)^2)</f>
        <v>0.43631276484459097</v>
      </c>
      <c r="D27" s="2" t="s">
        <v>25</v>
      </c>
      <c r="E27" s="2">
        <f>SQRT((D$11-I11)^2+(D$12-I12)^2)</f>
        <v>0.63003527238119328</v>
      </c>
    </row>
    <row r="28" spans="1:23" x14ac:dyDescent="0.3">
      <c r="B28" s="2" t="s">
        <v>22</v>
      </c>
      <c r="C28" s="2">
        <f>SQRT((D$11-F11)^2+(D$12-F12)^2)</f>
        <v>0.1190055919077207</v>
      </c>
      <c r="D28" s="2" t="s">
        <v>37</v>
      </c>
      <c r="E28" s="2">
        <f>SQRT((D$11-J11)^2+(D$12-J12)^2)</f>
        <v>0.12903225806451613</v>
      </c>
    </row>
    <row r="29" spans="1:23" x14ac:dyDescent="0.3">
      <c r="B29" s="2" t="s">
        <v>23</v>
      </c>
      <c r="C29" s="2">
        <f>SQRT((D$11-G11)^2+(D$12-G12)^2)</f>
        <v>0.53615387543853754</v>
      </c>
      <c r="D29" s="2" t="s">
        <v>38</v>
      </c>
      <c r="E29" s="2">
        <f>SQRT((D$11-K11)^2+(D$12-K12)^2)</f>
        <v>0.33476107690447521</v>
      </c>
    </row>
    <row r="30" spans="1:23" x14ac:dyDescent="0.3">
      <c r="B30" s="2" t="s">
        <v>24</v>
      </c>
      <c r="C30" s="2">
        <f>SQRT((D$11-H11)^2+(D$12-H12)^2)</f>
        <v>0.56130680155433066</v>
      </c>
      <c r="D30" s="2" t="s">
        <v>39</v>
      </c>
      <c r="E30" s="2">
        <f>SQRT((D$11-L11)^2+(D$12-L12)^2)</f>
        <v>0.37955009238923165</v>
      </c>
    </row>
    <row r="32" spans="1:23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4" spans="1:12" x14ac:dyDescent="0.3">
      <c r="A34" s="2" t="s">
        <v>15</v>
      </c>
      <c r="B34" s="3" t="s">
        <v>26</v>
      </c>
      <c r="D34" s="2" t="s">
        <v>27</v>
      </c>
    </row>
    <row r="36" spans="1:12" x14ac:dyDescent="0.3">
      <c r="A36" s="2" t="s">
        <v>12</v>
      </c>
      <c r="B36" s="2" t="s">
        <v>29</v>
      </c>
      <c r="E36" s="2" t="s">
        <v>112</v>
      </c>
    </row>
    <row r="37" spans="1:12" x14ac:dyDescent="0.3">
      <c r="A37" s="2" t="s">
        <v>15</v>
      </c>
      <c r="B37" s="1" t="s">
        <v>30</v>
      </c>
      <c r="C37" s="1" t="s">
        <v>6</v>
      </c>
      <c r="E37" s="1" t="s">
        <v>33</v>
      </c>
      <c r="F37" s="1">
        <f>G11</f>
        <v>0.87096774193548387</v>
      </c>
      <c r="G37" s="1">
        <f>G12</f>
        <v>1</v>
      </c>
    </row>
    <row r="38" spans="1:12" x14ac:dyDescent="0.3">
      <c r="B38" s="1" t="s">
        <v>31</v>
      </c>
      <c r="C38" s="1" t="s">
        <v>8</v>
      </c>
      <c r="E38" s="1" t="s">
        <v>34</v>
      </c>
      <c r="F38" s="1">
        <f>I11</f>
        <v>0.17741935483870969</v>
      </c>
      <c r="G38" s="1">
        <f>I12</f>
        <v>0.11666666666666667</v>
      </c>
    </row>
    <row r="39" spans="1:12" x14ac:dyDescent="0.3">
      <c r="B39" s="1" t="s">
        <v>32</v>
      </c>
      <c r="C39" s="1" t="s">
        <v>5</v>
      </c>
      <c r="E39" s="1" t="s">
        <v>35</v>
      </c>
      <c r="F39" s="1">
        <f>F11</f>
        <v>0.61290322580645162</v>
      </c>
      <c r="G39" s="1">
        <f>F12</f>
        <v>0.4</v>
      </c>
    </row>
    <row r="41" spans="1:12" x14ac:dyDescent="0.3">
      <c r="A41" s="2" t="s">
        <v>36</v>
      </c>
      <c r="B41" s="2" t="s">
        <v>56</v>
      </c>
      <c r="C41" s="1" t="s">
        <v>49</v>
      </c>
      <c r="D41" s="1" t="s">
        <v>40</v>
      </c>
      <c r="E41" s="1" t="s">
        <v>41</v>
      </c>
      <c r="F41" s="1" t="s">
        <v>42</v>
      </c>
      <c r="G41" s="1" t="s">
        <v>43</v>
      </c>
      <c r="H41" s="1" t="s">
        <v>44</v>
      </c>
      <c r="I41" s="1" t="s">
        <v>45</v>
      </c>
      <c r="J41" s="1" t="s">
        <v>46</v>
      </c>
      <c r="K41" s="1" t="s">
        <v>47</v>
      </c>
      <c r="L41" s="1" t="s">
        <v>48</v>
      </c>
    </row>
    <row r="42" spans="1:12" x14ac:dyDescent="0.3">
      <c r="C42" s="1" t="s">
        <v>33</v>
      </c>
      <c r="D42" s="1">
        <f>SQRT((D11-$F$37)^2+(D12-$G$37)^2)</f>
        <v>0.53615387543853754</v>
      </c>
      <c r="E42" s="1">
        <f t="shared" ref="E42:L42" si="4">SQRT((E11-$F$37)^2+(E12-$G$37)^2)</f>
        <v>0.8947535317224361</v>
      </c>
      <c r="F42" s="1">
        <f t="shared" si="4"/>
        <v>0.65314416056863855</v>
      </c>
      <c r="G42" s="1">
        <f t="shared" si="4"/>
        <v>0</v>
      </c>
      <c r="H42" s="1">
        <f t="shared" si="4"/>
        <v>1.0538868701028312</v>
      </c>
      <c r="I42" s="1">
        <f t="shared" si="4"/>
        <v>1.1230704087555305</v>
      </c>
      <c r="J42" s="1">
        <f t="shared" si="4"/>
        <v>0.50414514864799298</v>
      </c>
      <c r="K42" s="1">
        <f t="shared" si="4"/>
        <v>0.82375697743203469</v>
      </c>
      <c r="L42" s="1">
        <f t="shared" si="4"/>
        <v>0.32657208028431933</v>
      </c>
    </row>
    <row r="43" spans="1:12" x14ac:dyDescent="0.3">
      <c r="C43" s="1" t="s">
        <v>34</v>
      </c>
      <c r="D43" s="1">
        <f>SQRT((D11-$F$38)^2+(D12-$G$38)^2)</f>
        <v>0.63003527238119328</v>
      </c>
      <c r="E43" s="1">
        <f>SQRT((E11-$F$38)^2+(E12-$G$38)^2)</f>
        <v>0.23729662656975364</v>
      </c>
      <c r="F43" s="1">
        <f>SQRT((F11-$F$38)^2+(F12-$G$38)^2)</f>
        <v>0.51954208650582545</v>
      </c>
      <c r="G43" s="1">
        <f t="shared" ref="G43:L43" si="5">SQRT((G11-$F$38)^2+(G12-$G$38)^2)</f>
        <v>1.1230704087555305</v>
      </c>
      <c r="H43" s="1">
        <f t="shared" si="5"/>
        <v>6.9579531000396724E-2</v>
      </c>
      <c r="I43" s="1">
        <f t="shared" si="5"/>
        <v>0</v>
      </c>
      <c r="J43" s="1">
        <f t="shared" si="5"/>
        <v>0.73663154027654032</v>
      </c>
      <c r="K43" s="1">
        <f t="shared" si="5"/>
        <v>0.30151130100171919</v>
      </c>
      <c r="L43" s="1">
        <f t="shared" si="5"/>
        <v>1.0084228753711124</v>
      </c>
    </row>
    <row r="44" spans="1:12" x14ac:dyDescent="0.3">
      <c r="C44" s="1" t="s">
        <v>35</v>
      </c>
      <c r="D44" s="1">
        <f>SQRT((D11-$F$39)^2+(D12-$G$39)^2)</f>
        <v>0.1190055919077207</v>
      </c>
      <c r="E44" s="1">
        <f t="shared" ref="E44:L44" si="6">SQRT((E11-$F$39)^2+(E12-$G$39)^2)</f>
        <v>0.34520818359646094</v>
      </c>
      <c r="F44" s="1">
        <f t="shared" si="6"/>
        <v>0</v>
      </c>
      <c r="G44" s="1">
        <f t="shared" si="6"/>
        <v>0.65314416056863855</v>
      </c>
      <c r="H44" s="1">
        <f t="shared" si="6"/>
        <v>0.45198269550447995</v>
      </c>
      <c r="I44" s="1">
        <f t="shared" si="6"/>
        <v>0.51954208650582545</v>
      </c>
      <c r="J44" s="1">
        <f t="shared" si="6"/>
        <v>0.21785540651487795</v>
      </c>
      <c r="K44" s="1">
        <f t="shared" si="6"/>
        <v>0.23544213309103124</v>
      </c>
      <c r="L44" s="1">
        <f t="shared" si="6"/>
        <v>0.48973861660180618</v>
      </c>
    </row>
    <row r="45" spans="1:12" x14ac:dyDescent="0.3">
      <c r="A45" s="2" t="s">
        <v>28</v>
      </c>
      <c r="C45" s="1" t="s">
        <v>50</v>
      </c>
      <c r="D45" s="1">
        <v>3</v>
      </c>
      <c r="E45" s="1">
        <v>2</v>
      </c>
      <c r="F45" s="1">
        <v>3</v>
      </c>
      <c r="G45" s="1">
        <v>1</v>
      </c>
      <c r="H45" s="1">
        <v>2</v>
      </c>
      <c r="I45" s="1">
        <v>2</v>
      </c>
      <c r="J45" s="1">
        <v>3</v>
      </c>
      <c r="K45" s="1">
        <v>3</v>
      </c>
      <c r="L45" s="1">
        <v>1</v>
      </c>
    </row>
    <row r="47" spans="1:12" x14ac:dyDescent="0.3">
      <c r="C47" s="1" t="s">
        <v>30</v>
      </c>
      <c r="D47" s="1">
        <v>2</v>
      </c>
    </row>
    <row r="48" spans="1:12" x14ac:dyDescent="0.3">
      <c r="C48" s="1" t="s">
        <v>31</v>
      </c>
      <c r="D48" s="1">
        <v>3</v>
      </c>
    </row>
    <row r="49" spans="1:12" x14ac:dyDescent="0.3">
      <c r="C49" s="1" t="s">
        <v>32</v>
      </c>
      <c r="D49" s="1">
        <v>4</v>
      </c>
    </row>
    <row r="51" spans="1:12" x14ac:dyDescent="0.3">
      <c r="A51" s="2" t="s">
        <v>51</v>
      </c>
      <c r="B51" s="2" t="s">
        <v>52</v>
      </c>
    </row>
    <row r="53" spans="1:12" x14ac:dyDescent="0.3">
      <c r="B53" s="1" t="s">
        <v>53</v>
      </c>
      <c r="C53" s="1">
        <f>AVERAGE(G11,L11)</f>
        <v>0.93548387096774199</v>
      </c>
      <c r="D53" s="1">
        <f>AVERAGE(G12,L12)</f>
        <v>0.85</v>
      </c>
    </row>
    <row r="54" spans="1:12" x14ac:dyDescent="0.3">
      <c r="B54" s="1" t="s">
        <v>54</v>
      </c>
      <c r="C54" s="1">
        <f>AVERAGE(E11,H11,I11)</f>
        <v>0.22580645161290325</v>
      </c>
      <c r="D54" s="1">
        <f>AVERAGE(E12,H12,I12)</f>
        <v>0.20555555555555557</v>
      </c>
    </row>
    <row r="55" spans="1:12" x14ac:dyDescent="0.3">
      <c r="B55" s="1" t="s">
        <v>55</v>
      </c>
      <c r="C55" s="1">
        <f>AVERAGE(D12,F12,J12,K12)</f>
        <v>0.43333333333333329</v>
      </c>
      <c r="D55" s="1">
        <f>AVERAGE(E12,G12,K12,J12)</f>
        <v>0.54166666666666663</v>
      </c>
    </row>
    <row r="57" spans="1:12" x14ac:dyDescent="0.3">
      <c r="B57" s="2" t="s">
        <v>57</v>
      </c>
      <c r="C57" s="1" t="s">
        <v>49</v>
      </c>
      <c r="D57" s="1" t="s">
        <v>40</v>
      </c>
      <c r="E57" s="1" t="s">
        <v>41</v>
      </c>
      <c r="F57" s="1" t="s">
        <v>42</v>
      </c>
      <c r="G57" s="1" t="s">
        <v>43</v>
      </c>
      <c r="H57" s="1" t="s">
        <v>44</v>
      </c>
      <c r="I57" s="1" t="s">
        <v>45</v>
      </c>
      <c r="J57" s="1" t="s">
        <v>46</v>
      </c>
      <c r="K57" s="1" t="s">
        <v>47</v>
      </c>
      <c r="L57" s="1" t="s">
        <v>48</v>
      </c>
    </row>
    <row r="58" spans="1:12" x14ac:dyDescent="0.3">
      <c r="C58" s="1" t="s">
        <v>58</v>
      </c>
      <c r="D58" s="1">
        <f>SQRT((D11-$C$53)^2+(D12-$D$53)^2)</f>
        <v>0.43485318727693784</v>
      </c>
      <c r="E58" s="1">
        <f>SQRT((E11-$C$53)^2+(E12-$D$53)^2)</f>
        <v>0.83919564773851052</v>
      </c>
      <c r="F58" s="1">
        <f t="shared" ref="F58:L58" si="7">SQRT((F11-$C$53)^2+(F12-$D$53)^2)</f>
        <v>0.55367704723301858</v>
      </c>
      <c r="G58" s="1">
        <f t="shared" si="7"/>
        <v>0.16328604014215969</v>
      </c>
      <c r="H58" s="1">
        <f t="shared" si="7"/>
        <v>0.98518347732114753</v>
      </c>
      <c r="I58" s="1">
        <f>SQRT((I11-$C$53)^2+(I12-$D$53)^2)</f>
        <v>1.0547225172488361</v>
      </c>
      <c r="J58" s="1">
        <f t="shared" si="7"/>
        <v>0.37302724246524932</v>
      </c>
      <c r="K58" s="1">
        <f t="shared" si="7"/>
        <v>0.75344067606738163</v>
      </c>
      <c r="L58" s="1">
        <f t="shared" si="7"/>
        <v>0.16328604014215964</v>
      </c>
    </row>
    <row r="59" spans="1:12" x14ac:dyDescent="0.3">
      <c r="C59" s="1" t="s">
        <v>59</v>
      </c>
      <c r="D59" s="1">
        <f>SQRT((D11-$C$54)^2+(D12-$D$54)^2)</f>
        <v>0.53912127135203924</v>
      </c>
      <c r="E59" s="1">
        <f t="shared" ref="E59:L59" si="8">SQRT((E11-$C$54)^2+(E12-$D$54)^2)</f>
        <v>0.13663261553546546</v>
      </c>
      <c r="F59" s="1">
        <f t="shared" si="8"/>
        <v>0.43318882091572913</v>
      </c>
      <c r="G59" s="1">
        <f t="shared" si="8"/>
        <v>1.0234134383714819</v>
      </c>
      <c r="H59" s="1">
        <f>SQRT((H11-$C$54)^2+(H12-$D$54)^2)</f>
        <v>3.8888888888888917E-2</v>
      </c>
      <c r="I59" s="1">
        <f t="shared" si="8"/>
        <v>0.10120546280777738</v>
      </c>
      <c r="J59" s="1">
        <f t="shared" si="8"/>
        <v>0.65103481795835016</v>
      </c>
      <c r="K59" s="1">
        <f t="shared" si="8"/>
        <v>0.20577105882994265</v>
      </c>
      <c r="L59" s="1">
        <f t="shared" si="8"/>
        <v>0.91861360702211414</v>
      </c>
    </row>
    <row r="60" spans="1:12" x14ac:dyDescent="0.3">
      <c r="C60" s="1" t="s">
        <v>60</v>
      </c>
      <c r="D60" s="1">
        <f>SQRT((D11-$C$55)^2+(D12-$D$55)^2)</f>
        <v>0.24761683506061163</v>
      </c>
      <c r="E60" s="1">
        <f t="shared" ref="E60:L60" si="9">SQRT((E27-$F$39)^2+(E28-$G$39)^2)</f>
        <v>0.27150879210341256</v>
      </c>
      <c r="F60" s="1">
        <f t="shared" si="9"/>
        <v>0.73188138670412595</v>
      </c>
      <c r="G60" s="1">
        <f t="shared" si="9"/>
        <v>0.73188138670412595</v>
      </c>
      <c r="H60" s="1">
        <f t="shared" si="9"/>
        <v>0.73188138670412595</v>
      </c>
      <c r="I60" s="1">
        <f t="shared" si="9"/>
        <v>0.73188138670412595</v>
      </c>
      <c r="J60" s="1">
        <f t="shared" si="9"/>
        <v>0.73188138670412595</v>
      </c>
      <c r="K60" s="1">
        <f t="shared" si="9"/>
        <v>0.73188138670412595</v>
      </c>
      <c r="L60" s="1">
        <f t="shared" si="9"/>
        <v>0.73188138670412595</v>
      </c>
    </row>
    <row r="61" spans="1:12" x14ac:dyDescent="0.3">
      <c r="C61" s="1" t="s">
        <v>50</v>
      </c>
      <c r="D61" s="1">
        <v>3</v>
      </c>
      <c r="E61" s="1">
        <v>2</v>
      </c>
      <c r="F61" s="1">
        <v>2</v>
      </c>
      <c r="G61" s="1">
        <v>1</v>
      </c>
      <c r="H61" s="1">
        <v>2</v>
      </c>
      <c r="I61" s="1">
        <v>2</v>
      </c>
      <c r="J61" s="1">
        <v>1</v>
      </c>
      <c r="K61" s="1">
        <v>2</v>
      </c>
      <c r="L61" s="1">
        <v>1</v>
      </c>
    </row>
    <row r="63" spans="1:12" x14ac:dyDescent="0.3">
      <c r="C63" s="1" t="s">
        <v>30</v>
      </c>
      <c r="D63" s="1">
        <v>3</v>
      </c>
    </row>
    <row r="64" spans="1:12" x14ac:dyDescent="0.3">
      <c r="C64" s="1" t="s">
        <v>31</v>
      </c>
      <c r="D64" s="1">
        <v>5</v>
      </c>
    </row>
    <row r="65" spans="2:12" x14ac:dyDescent="0.3">
      <c r="C65" s="1" t="s">
        <v>32</v>
      </c>
      <c r="D65" s="1">
        <v>1</v>
      </c>
    </row>
    <row r="67" spans="2:12" x14ac:dyDescent="0.3">
      <c r="B67" s="1" t="s">
        <v>58</v>
      </c>
      <c r="C67" s="1">
        <f>AVERAGE(G11,J11,L11)</f>
        <v>0.89247311827956988</v>
      </c>
      <c r="D67" s="1">
        <f>AVERAGE(G12,J12,L12)</f>
        <v>0.73333333333333339</v>
      </c>
    </row>
    <row r="68" spans="2:12" x14ac:dyDescent="0.3">
      <c r="B68" s="1" t="s">
        <v>59</v>
      </c>
      <c r="C68" s="1">
        <f>AVERAGE(E11,F11,H11,I11,K11)</f>
        <v>0.3354838709677419</v>
      </c>
      <c r="D68" s="1">
        <f>AVERAGE(E12,F12,H12,I12,K12)</f>
        <v>0.26999999999999996</v>
      </c>
    </row>
    <row r="69" spans="2:12" x14ac:dyDescent="0.3">
      <c r="B69" s="1" t="s">
        <v>60</v>
      </c>
      <c r="C69" s="1">
        <f>AVERAGE(D11)</f>
        <v>0.67741935483870963</v>
      </c>
      <c r="D69" s="1">
        <f>AVERAGE(D12)</f>
        <v>0.5</v>
      </c>
    </row>
    <row r="71" spans="2:12" x14ac:dyDescent="0.3">
      <c r="B71" s="2" t="s">
        <v>61</v>
      </c>
      <c r="C71" s="1" t="s">
        <v>49</v>
      </c>
      <c r="D71" s="1" t="s">
        <v>40</v>
      </c>
      <c r="E71" s="1" t="s">
        <v>41</v>
      </c>
      <c r="F71" s="1" t="s">
        <v>42</v>
      </c>
      <c r="G71" s="1" t="s">
        <v>43</v>
      </c>
      <c r="H71" s="1" t="s">
        <v>44</v>
      </c>
      <c r="I71" s="1" t="s">
        <v>45</v>
      </c>
      <c r="J71" s="1" t="s">
        <v>46</v>
      </c>
      <c r="K71" s="1" t="s">
        <v>47</v>
      </c>
      <c r="L71" s="1" t="s">
        <v>48</v>
      </c>
    </row>
    <row r="72" spans="2:12" x14ac:dyDescent="0.3">
      <c r="C72" s="1" t="s">
        <v>62</v>
      </c>
      <c r="D72" s="1">
        <f>SQRT((D11-$C$67)^2+(D12-$D$67)^2)</f>
        <v>0.31732091896772568</v>
      </c>
      <c r="E72" s="1">
        <f t="shared" ref="E72:L72" si="10">SQRT((E11-$C$67)^2+(E12-$D$67)^2)</f>
        <v>0.73638958883625016</v>
      </c>
      <c r="F72" s="1">
        <f t="shared" si="10"/>
        <v>0.4350522220246002</v>
      </c>
      <c r="G72" s="1">
        <f t="shared" si="10"/>
        <v>0.26753241359284269</v>
      </c>
      <c r="H72" s="1">
        <f t="shared" si="10"/>
        <v>0.87496031656044593</v>
      </c>
      <c r="I72" s="1">
        <f>SQRT((I11-$C$67)^2+(I12-$D$67)^2)</f>
        <v>0.94423496143106012</v>
      </c>
      <c r="J72" s="1">
        <f t="shared" si="10"/>
        <v>0.24868482831016628</v>
      </c>
      <c r="K72" s="1">
        <f t="shared" si="10"/>
        <v>0.64451939393764779</v>
      </c>
      <c r="L72" s="1">
        <f t="shared" si="10"/>
        <v>0.1125750478730988</v>
      </c>
    </row>
    <row r="73" spans="2:12" x14ac:dyDescent="0.3">
      <c r="C73" s="1" t="s">
        <v>63</v>
      </c>
      <c r="D73" s="1">
        <f>SQRT((D11-$C$68)^2+(D12-$D$68)^2)</f>
        <v>0.41209207118078944</v>
      </c>
      <c r="E73" s="1">
        <f t="shared" ref="E73:L73" si="11">SQRT((E11-$C$68)^2+(E12-$D$68)^2)</f>
        <v>8.8134072600502558E-2</v>
      </c>
      <c r="F73" s="1">
        <f t="shared" si="11"/>
        <v>0.30636823993215412</v>
      </c>
      <c r="G73" s="1">
        <f t="shared" si="11"/>
        <v>0.90534135886227873</v>
      </c>
      <c r="H73" s="1">
        <f t="shared" si="11"/>
        <v>0.15068813521347629</v>
      </c>
      <c r="I73" s="1">
        <f t="shared" si="11"/>
        <v>0.22021694387629709</v>
      </c>
      <c r="J73" s="1">
        <f t="shared" si="11"/>
        <v>0.52412843268020537</v>
      </c>
      <c r="K73" s="1">
        <f t="shared" si="11"/>
        <v>8.1700690881458149E-2</v>
      </c>
      <c r="L73" s="1">
        <f t="shared" si="11"/>
        <v>0.79150596064970768</v>
      </c>
    </row>
    <row r="74" spans="2:12" x14ac:dyDescent="0.3">
      <c r="C74" s="1" t="s">
        <v>64</v>
      </c>
      <c r="D74" s="1">
        <f>SQRT((D11-$C$69)^2+(D12-$D$69)^2)</f>
        <v>0</v>
      </c>
      <c r="E74" s="1">
        <f t="shared" ref="E74:L74" si="12">SQRT((E11-$C$69)^2+(E12-$D$69)^2)</f>
        <v>0.43631276484459097</v>
      </c>
      <c r="F74" s="1">
        <f t="shared" si="12"/>
        <v>0.1190055919077207</v>
      </c>
      <c r="G74" s="1">
        <f t="shared" si="12"/>
        <v>0.53615387543853754</v>
      </c>
      <c r="H74" s="1">
        <f t="shared" si="12"/>
        <v>0.56130680155433066</v>
      </c>
      <c r="I74" s="1">
        <f t="shared" si="12"/>
        <v>0.63003527238119328</v>
      </c>
      <c r="J74" s="1">
        <f t="shared" si="12"/>
        <v>0.12903225806451613</v>
      </c>
      <c r="K74" s="1">
        <f t="shared" si="12"/>
        <v>0.33476107690447521</v>
      </c>
      <c r="L74" s="1">
        <f t="shared" si="12"/>
        <v>0.37955009238923165</v>
      </c>
    </row>
    <row r="75" spans="2:12" x14ac:dyDescent="0.3">
      <c r="C75" s="1" t="s">
        <v>50</v>
      </c>
      <c r="D75" s="1">
        <v>3</v>
      </c>
      <c r="E75" s="1">
        <v>2</v>
      </c>
      <c r="F75" s="1">
        <v>1</v>
      </c>
      <c r="G75" s="1">
        <v>1</v>
      </c>
      <c r="H75" s="1">
        <v>2</v>
      </c>
      <c r="I75" s="1">
        <v>2</v>
      </c>
      <c r="J75" s="1">
        <v>3</v>
      </c>
      <c r="K75" s="1">
        <v>3</v>
      </c>
      <c r="L75" s="1">
        <v>1</v>
      </c>
    </row>
    <row r="77" spans="2:12" x14ac:dyDescent="0.3">
      <c r="B77" s="1" t="s">
        <v>62</v>
      </c>
      <c r="C77" s="1">
        <f>AVERAGE(F11,G11,L11)</f>
        <v>0.82795698924731187</v>
      </c>
      <c r="D77" s="1">
        <f>AVERAGE(F12,G12,L12)</f>
        <v>0.69999999999999984</v>
      </c>
    </row>
    <row r="78" spans="2:12" x14ac:dyDescent="0.3">
      <c r="B78" s="1" t="s">
        <v>63</v>
      </c>
      <c r="C78" s="1">
        <f>AVERAGE(E11,H11,I11)</f>
        <v>0.22580645161290325</v>
      </c>
      <c r="D78" s="1">
        <f>AVERAGE(E12,H12,I12)</f>
        <v>0.20555555555555557</v>
      </c>
    </row>
    <row r="79" spans="2:12" x14ac:dyDescent="0.3">
      <c r="B79" s="1" t="s">
        <v>64</v>
      </c>
      <c r="C79" s="1">
        <f>AVERAGE(D11,J11,K11)</f>
        <v>0.62365591397849462</v>
      </c>
      <c r="D79" s="1">
        <f>AVERAGE(D12,J12,K12)</f>
        <v>0.44444444444444442</v>
      </c>
    </row>
    <row r="81" spans="2:12" x14ac:dyDescent="0.3">
      <c r="B81" s="2" t="s">
        <v>65</v>
      </c>
      <c r="C81" s="1" t="s">
        <v>49</v>
      </c>
      <c r="D81" s="1" t="s">
        <v>40</v>
      </c>
      <c r="E81" s="1" t="s">
        <v>41</v>
      </c>
      <c r="F81" s="1" t="s">
        <v>42</v>
      </c>
      <c r="G81" s="1" t="s">
        <v>43</v>
      </c>
      <c r="H81" s="1" t="s">
        <v>44</v>
      </c>
      <c r="I81" s="1" t="s">
        <v>45</v>
      </c>
      <c r="J81" s="1" t="s">
        <v>46</v>
      </c>
      <c r="K81" s="1" t="s">
        <v>47</v>
      </c>
      <c r="L81" s="1" t="s">
        <v>48</v>
      </c>
    </row>
    <row r="82" spans="2:12" x14ac:dyDescent="0.3">
      <c r="C82" s="1" t="s">
        <v>70</v>
      </c>
      <c r="D82" s="1">
        <f>SQRT((D11-$C$77)^2+(D12-$D$77)^2)</f>
        <v>0.2503229501530731</v>
      </c>
      <c r="E82" s="1">
        <f t="shared" ref="E82:L82" si="13">SQRT((E11-$C$77)^2+(E12-$D$77)^2)</f>
        <v>0.66415238678919863</v>
      </c>
      <c r="F82" s="1">
        <f t="shared" si="13"/>
        <v>0.36911803148867894</v>
      </c>
      <c r="G82" s="1">
        <f t="shared" si="13"/>
        <v>0.30306752522631519</v>
      </c>
      <c r="H82" s="1">
        <f t="shared" si="13"/>
        <v>0.80438157264935628</v>
      </c>
      <c r="I82" s="1">
        <f t="shared" si="13"/>
        <v>0.87377170448562691</v>
      </c>
      <c r="J82" s="1">
        <f t="shared" si="13"/>
        <v>0.20115288019737801</v>
      </c>
      <c r="K82" s="1">
        <f t="shared" si="13"/>
        <v>0.57341274284907107</v>
      </c>
      <c r="L82" s="1">
        <f t="shared" si="13"/>
        <v>0.17204301075268813</v>
      </c>
    </row>
    <row r="83" spans="2:12" x14ac:dyDescent="0.3">
      <c r="C83" s="1" t="s">
        <v>71</v>
      </c>
      <c r="D83" s="1">
        <f>SQRT((D11-$C$78)^2+(D12-$D$78)^2)</f>
        <v>0.53912127135203924</v>
      </c>
      <c r="E83" s="1">
        <f t="shared" ref="E83:L83" si="14">SQRT((E11-$C$78)^2+(E12-$D$78)^2)</f>
        <v>0.13663261553546546</v>
      </c>
      <c r="F83" s="1">
        <f t="shared" si="14"/>
        <v>0.43318882091572913</v>
      </c>
      <c r="G83" s="1">
        <f t="shared" si="14"/>
        <v>1.0234134383714819</v>
      </c>
      <c r="H83" s="1">
        <f t="shared" si="14"/>
        <v>3.8888888888888917E-2</v>
      </c>
      <c r="I83" s="1">
        <f t="shared" si="14"/>
        <v>0.10120546280777738</v>
      </c>
      <c r="J83" s="1">
        <f t="shared" si="14"/>
        <v>0.65103481795835016</v>
      </c>
      <c r="K83" s="1">
        <f t="shared" si="14"/>
        <v>0.20577105882994265</v>
      </c>
      <c r="L83" s="1">
        <f t="shared" si="14"/>
        <v>0.91861360702211414</v>
      </c>
    </row>
    <row r="84" spans="2:12" x14ac:dyDescent="0.3">
      <c r="C84" s="1" t="s">
        <v>72</v>
      </c>
      <c r="D84" s="1">
        <f>SQRT((D11-$C$79)^2+(D12-$D$79)^2)</f>
        <v>7.7310590000440813E-2</v>
      </c>
      <c r="E84" s="1">
        <f t="shared" ref="E84:L84" si="15">SQRT((E11-$C$79)^2+(E12-$D$79)^2)</f>
        <v>0.36670100078549217</v>
      </c>
      <c r="F84" s="1">
        <f t="shared" si="15"/>
        <v>4.5726676512737048E-2</v>
      </c>
      <c r="G84" s="1">
        <f t="shared" si="15"/>
        <v>0.60811603790400848</v>
      </c>
      <c r="H84" s="1">
        <f t="shared" si="15"/>
        <v>0.48522643016611389</v>
      </c>
      <c r="I84" s="1">
        <f t="shared" si="15"/>
        <v>0.55368342788804237</v>
      </c>
      <c r="J84" s="1">
        <f t="shared" si="15"/>
        <v>0.19105153047925938</v>
      </c>
      <c r="K84" s="1">
        <f t="shared" si="15"/>
        <v>0.26135398529224574</v>
      </c>
      <c r="L84" s="1">
        <f t="shared" si="15"/>
        <v>0.45491044509735196</v>
      </c>
    </row>
    <row r="85" spans="2:12" x14ac:dyDescent="0.3">
      <c r="C85" s="1" t="s">
        <v>50</v>
      </c>
      <c r="D85" s="1">
        <v>3</v>
      </c>
      <c r="E85" s="1">
        <v>2</v>
      </c>
      <c r="F85" s="1">
        <v>3</v>
      </c>
      <c r="G85" s="1">
        <v>1</v>
      </c>
      <c r="H85" s="1">
        <v>2</v>
      </c>
      <c r="I85" s="1">
        <v>2</v>
      </c>
      <c r="J85" s="1">
        <v>3</v>
      </c>
      <c r="K85" s="1">
        <v>2</v>
      </c>
      <c r="L85" s="1">
        <v>1</v>
      </c>
    </row>
    <row r="87" spans="2:12" x14ac:dyDescent="0.3">
      <c r="B87" s="1" t="s">
        <v>70</v>
      </c>
      <c r="C87" s="1">
        <f>AVERAGE(G11,L11)</f>
        <v>0.93548387096774199</v>
      </c>
      <c r="D87" s="1">
        <f>AVERAGE(G12,L12)</f>
        <v>0.85</v>
      </c>
    </row>
    <row r="88" spans="2:12" x14ac:dyDescent="0.3">
      <c r="B88" s="1" t="s">
        <v>71</v>
      </c>
      <c r="C88" s="1">
        <f>AVERAGE(E11,H11,I11,K11)</f>
        <v>0.2661290322580645</v>
      </c>
      <c r="D88" s="1">
        <f>AVERAGE(E12,H12,I12,K12)</f>
        <v>0.23749999999999999</v>
      </c>
    </row>
    <row r="89" spans="2:12" x14ac:dyDescent="0.3">
      <c r="B89" s="1" t="s">
        <v>72</v>
      </c>
      <c r="C89" s="1">
        <f>AVERAGE(D11,F11,J11)</f>
        <v>0.69892473118279563</v>
      </c>
      <c r="D89" s="1">
        <f>AVERAGE(D12,F12,J12)</f>
        <v>0.46666666666666662</v>
      </c>
    </row>
    <row r="91" spans="2:12" x14ac:dyDescent="0.3">
      <c r="B91" s="2" t="s">
        <v>66</v>
      </c>
      <c r="C91" s="1" t="s">
        <v>49</v>
      </c>
      <c r="D91" s="1" t="s">
        <v>40</v>
      </c>
      <c r="E91" s="1" t="s">
        <v>41</v>
      </c>
      <c r="F91" s="1" t="s">
        <v>42</v>
      </c>
      <c r="G91" s="1" t="s">
        <v>43</v>
      </c>
      <c r="H91" s="1" t="s">
        <v>44</v>
      </c>
      <c r="I91" s="1" t="s">
        <v>45</v>
      </c>
      <c r="J91" s="1" t="s">
        <v>46</v>
      </c>
      <c r="K91" s="1" t="s">
        <v>47</v>
      </c>
      <c r="L91" s="1" t="s">
        <v>48</v>
      </c>
    </row>
    <row r="92" spans="2:12" x14ac:dyDescent="0.3">
      <c r="C92" s="1" t="s">
        <v>67</v>
      </c>
      <c r="D92" s="1">
        <f>SQRT((D11-$C$87)^2+(D12-$D$87)^2)</f>
        <v>0.43485318727693784</v>
      </c>
      <c r="E92" s="1">
        <f t="shared" ref="E92:L92" si="16">SQRT((E11-$C$87)^2+(E12-$D$87)^2)</f>
        <v>0.83919564773851052</v>
      </c>
      <c r="F92" s="1">
        <f t="shared" si="16"/>
        <v>0.55367704723301858</v>
      </c>
      <c r="G92" s="1">
        <f t="shared" si="16"/>
        <v>0.16328604014215969</v>
      </c>
      <c r="H92" s="1">
        <f t="shared" si="16"/>
        <v>0.98518347732114753</v>
      </c>
      <c r="I92" s="1">
        <f t="shared" si="16"/>
        <v>1.0547225172488361</v>
      </c>
      <c r="J92" s="1">
        <f t="shared" si="16"/>
        <v>0.37302724246524932</v>
      </c>
      <c r="K92" s="1">
        <f t="shared" si="16"/>
        <v>0.75344067606738163</v>
      </c>
      <c r="L92" s="1">
        <f t="shared" si="16"/>
        <v>0.16328604014215964</v>
      </c>
    </row>
    <row r="93" spans="2:12" x14ac:dyDescent="0.3">
      <c r="C93" s="1" t="s">
        <v>68</v>
      </c>
      <c r="D93" s="1">
        <f>SQRT((D11-$C$88)^2+(D12-$D$88)^2)</f>
        <v>0.48792005436187097</v>
      </c>
      <c r="E93" s="1">
        <f t="shared" ref="E93:L93" si="17">SQRT((E11-$C$88)^2+(E12-$D$88)^2)</f>
        <v>9.61720551832662E-2</v>
      </c>
      <c r="F93" s="1">
        <f t="shared" si="17"/>
        <v>0.38296029991519259</v>
      </c>
      <c r="G93" s="1">
        <f t="shared" si="17"/>
        <v>0.973260558496154</v>
      </c>
      <c r="H93" s="1">
        <f t="shared" si="17"/>
        <v>8.1506267372495014E-2</v>
      </c>
      <c r="I93" s="1">
        <f t="shared" si="17"/>
        <v>0.14990030457704356</v>
      </c>
      <c r="J93" s="1">
        <f t="shared" si="17"/>
        <v>0.60071186200627569</v>
      </c>
      <c r="K93" s="1">
        <f t="shared" si="17"/>
        <v>0.15432829412245702</v>
      </c>
      <c r="L93" s="1">
        <f t="shared" si="17"/>
        <v>0.86745192794441639</v>
      </c>
    </row>
    <row r="94" spans="2:12" x14ac:dyDescent="0.3">
      <c r="C94" s="1" t="s">
        <v>69</v>
      </c>
      <c r="D94" s="1">
        <f>SQRT((D11-$C$89)^2+(D12-$D$89)^2)</f>
        <v>3.9668530635906953E-2</v>
      </c>
      <c r="E94" s="1">
        <f t="shared" ref="E94:L94" si="18">SQRT((E11-$C$89)^2+(E12-$D$89)^2)</f>
        <v>0.44516778344441232</v>
      </c>
      <c r="F94" s="1">
        <f t="shared" si="18"/>
        <v>0.10883080368929017</v>
      </c>
      <c r="G94" s="1">
        <f t="shared" si="18"/>
        <v>0.56039561203965016</v>
      </c>
      <c r="H94" s="1">
        <f t="shared" si="18"/>
        <v>0.56021505376344072</v>
      </c>
      <c r="I94" s="1">
        <f t="shared" si="18"/>
        <v>0.62806676202119371</v>
      </c>
      <c r="J94" s="1">
        <f t="shared" si="18"/>
        <v>0.11257504787309879</v>
      </c>
      <c r="K94" s="1">
        <f t="shared" si="18"/>
        <v>0.33913780759134715</v>
      </c>
      <c r="L94" s="1">
        <f t="shared" si="18"/>
        <v>0.38090781291251602</v>
      </c>
    </row>
    <row r="95" spans="2:12" x14ac:dyDescent="0.3">
      <c r="C95" s="1" t="s">
        <v>50</v>
      </c>
      <c r="D95" s="1">
        <v>3</v>
      </c>
      <c r="E95" s="1">
        <v>2</v>
      </c>
      <c r="F95" s="1">
        <v>3</v>
      </c>
      <c r="G95" s="1">
        <v>1</v>
      </c>
      <c r="H95" s="1">
        <v>2</v>
      </c>
      <c r="I95" s="1">
        <v>2</v>
      </c>
      <c r="J95" s="1">
        <v>3</v>
      </c>
      <c r="K95" s="1">
        <v>2</v>
      </c>
      <c r="L95" s="1">
        <v>1</v>
      </c>
    </row>
    <row r="97" spans="1:13" x14ac:dyDescent="0.3">
      <c r="B97" s="1" t="s">
        <v>67</v>
      </c>
      <c r="C97" s="1">
        <f>AVERAGE(G11,L11)</f>
        <v>0.93548387096774199</v>
      </c>
      <c r="D97" s="1">
        <f>AVERAGE(G12,L12)</f>
        <v>0.85</v>
      </c>
    </row>
    <row r="98" spans="1:13" x14ac:dyDescent="0.3">
      <c r="B98" s="1" t="s">
        <v>68</v>
      </c>
      <c r="C98" s="1">
        <f>AVERAGE(E11,H11,I11,K11)</f>
        <v>0.2661290322580645</v>
      </c>
      <c r="D98" s="1">
        <f>AVERAGE(E12,H12,I12,K12)</f>
        <v>0.23749999999999999</v>
      </c>
    </row>
    <row r="99" spans="1:13" x14ac:dyDescent="0.3">
      <c r="A99" s="5"/>
      <c r="B99" s="1" t="s">
        <v>69</v>
      </c>
      <c r="C99" s="1">
        <f>AVERAGE(D11,F11,J11)</f>
        <v>0.69892473118279563</v>
      </c>
      <c r="D99" s="1">
        <f>AVERAGE(D12,F12,J12)</f>
        <v>0.46666666666666662</v>
      </c>
      <c r="E99" s="5"/>
      <c r="F99" s="5"/>
      <c r="G99" s="5"/>
      <c r="H99" s="5"/>
      <c r="I99" s="5"/>
      <c r="J99" s="5"/>
      <c r="K99" s="5"/>
      <c r="L99" s="5"/>
      <c r="M99" s="5"/>
    </row>
    <row r="100" spans="1:13" x14ac:dyDescent="0.3">
      <c r="B100" s="3" t="s">
        <v>73</v>
      </c>
    </row>
    <row r="102" spans="1:13" x14ac:dyDescent="0.3">
      <c r="A102" s="2" t="s">
        <v>12</v>
      </c>
      <c r="B102" s="9" t="s">
        <v>0</v>
      </c>
      <c r="C102" s="9"/>
      <c r="D102" s="9"/>
      <c r="E102" s="1" t="s">
        <v>3</v>
      </c>
      <c r="F102" s="1" t="s">
        <v>4</v>
      </c>
      <c r="G102" s="1" t="s">
        <v>5</v>
      </c>
      <c r="H102" s="1" t="s">
        <v>6</v>
      </c>
      <c r="I102" s="1" t="s">
        <v>7</v>
      </c>
      <c r="J102" s="1" t="s">
        <v>8</v>
      </c>
      <c r="K102" s="1" t="s">
        <v>9</v>
      </c>
      <c r="L102" s="1" t="s">
        <v>10</v>
      </c>
      <c r="M102" s="1" t="s">
        <v>11</v>
      </c>
    </row>
    <row r="103" spans="1:13" x14ac:dyDescent="0.3">
      <c r="B103" s="9" t="s">
        <v>1</v>
      </c>
      <c r="C103" s="9"/>
      <c r="D103" s="9"/>
      <c r="E103" s="1">
        <f>D3/MAX($D$3:$L$3)</f>
        <v>0.67741935483870963</v>
      </c>
      <c r="F103" s="1">
        <f t="shared" ref="F103:M103" si="19">E3/MAX($D$3:$L$3)</f>
        <v>0.27419354838709675</v>
      </c>
      <c r="G103" s="1">
        <f t="shared" si="19"/>
        <v>0.61290322580645162</v>
      </c>
      <c r="H103" s="1">
        <f t="shared" si="19"/>
        <v>0.87096774193548387</v>
      </c>
      <c r="I103" s="1">
        <f t="shared" si="19"/>
        <v>0.22580645161290322</v>
      </c>
      <c r="J103" s="1">
        <f t="shared" si="19"/>
        <v>0.17741935483870969</v>
      </c>
      <c r="K103" s="1">
        <f t="shared" si="19"/>
        <v>0.80645161290322576</v>
      </c>
      <c r="L103" s="1">
        <f t="shared" si="19"/>
        <v>0.38709677419354838</v>
      </c>
      <c r="M103" s="1">
        <f t="shared" si="19"/>
        <v>1</v>
      </c>
    </row>
    <row r="104" spans="1:13" x14ac:dyDescent="0.3">
      <c r="B104" s="9" t="s">
        <v>2</v>
      </c>
      <c r="C104" s="9"/>
      <c r="D104" s="9"/>
      <c r="E104" s="1">
        <f>D4/MAX($D$4:$L$4)</f>
        <v>0.5</v>
      </c>
      <c r="F104" s="1">
        <f t="shared" ref="F104:M104" si="20">E4/MAX($D$4:$L$4)</f>
        <v>0.33333333333333331</v>
      </c>
      <c r="G104" s="1">
        <f t="shared" si="20"/>
        <v>0.4</v>
      </c>
      <c r="H104" s="1">
        <f t="shared" si="20"/>
        <v>1</v>
      </c>
      <c r="I104" s="1">
        <f t="shared" si="20"/>
        <v>0.16666666666666666</v>
      </c>
      <c r="J104" s="1">
        <f t="shared" si="20"/>
        <v>0.11666666666666667</v>
      </c>
      <c r="K104" s="1">
        <f t="shared" si="20"/>
        <v>0.5</v>
      </c>
      <c r="L104" s="1">
        <f t="shared" si="20"/>
        <v>0.33333333333333331</v>
      </c>
      <c r="M104" s="1">
        <f t="shared" si="20"/>
        <v>0.7</v>
      </c>
    </row>
    <row r="106" spans="1:13" x14ac:dyDescent="0.3">
      <c r="A106" s="2" t="s">
        <v>15</v>
      </c>
      <c r="B106" s="2" t="s">
        <v>86</v>
      </c>
      <c r="C106" s="2" t="s">
        <v>74</v>
      </c>
    </row>
    <row r="108" spans="1:13" x14ac:dyDescent="0.3">
      <c r="A108" s="2" t="s">
        <v>36</v>
      </c>
      <c r="B108" s="1" t="s">
        <v>49</v>
      </c>
      <c r="C108" s="1" t="s">
        <v>84</v>
      </c>
      <c r="D108" s="1" t="s">
        <v>85</v>
      </c>
      <c r="E108" s="1" t="s">
        <v>75</v>
      </c>
      <c r="F108" s="1" t="s">
        <v>76</v>
      </c>
      <c r="G108" s="1" t="s">
        <v>77</v>
      </c>
      <c r="H108" s="1" t="s">
        <v>78</v>
      </c>
      <c r="I108" s="1" t="s">
        <v>79</v>
      </c>
      <c r="J108" s="1" t="s">
        <v>80</v>
      </c>
      <c r="K108" s="1" t="s">
        <v>81</v>
      </c>
    </row>
    <row r="109" spans="1:13" x14ac:dyDescent="0.3">
      <c r="B109" s="1" t="s">
        <v>86</v>
      </c>
      <c r="C109" s="1">
        <v>0</v>
      </c>
      <c r="D109" s="1">
        <f>SQRT(($E$103-F103)^2+($E$104-F104)^2)</f>
        <v>0.43631276484459097</v>
      </c>
      <c r="E109" s="1">
        <f>SQRT(($E$103-G103)^2+($E$104-G104)^2)</f>
        <v>0.1190055919077207</v>
      </c>
      <c r="F109" s="1">
        <f t="shared" ref="F109:K109" si="21">SQRT(($E$103-H103)^2+($E$104-H104)^2)</f>
        <v>0.53615387543853754</v>
      </c>
      <c r="G109" s="1">
        <f t="shared" si="21"/>
        <v>0.56130680155433066</v>
      </c>
      <c r="H109" s="1">
        <f>SQRT(($E$103-J103)^2+($E$104-J104)^2)</f>
        <v>0.63003527238119328</v>
      </c>
      <c r="I109" s="1">
        <f t="shared" si="21"/>
        <v>0.12903225806451613</v>
      </c>
      <c r="J109" s="1">
        <f t="shared" si="21"/>
        <v>0.33476107690447521</v>
      </c>
      <c r="K109" s="1">
        <f t="shared" si="21"/>
        <v>0.37955009238923165</v>
      </c>
    </row>
    <row r="111" spans="1:13" x14ac:dyDescent="0.3">
      <c r="B111" s="2" t="s">
        <v>87</v>
      </c>
      <c r="C111" s="2" t="s">
        <v>82</v>
      </c>
    </row>
    <row r="113" spans="1:11" x14ac:dyDescent="0.3">
      <c r="A113" s="2" t="s">
        <v>28</v>
      </c>
      <c r="B113" s="2" t="s">
        <v>114</v>
      </c>
    </row>
    <row r="114" spans="1:11" x14ac:dyDescent="0.3">
      <c r="B114" s="2" t="s">
        <v>83</v>
      </c>
      <c r="C114" s="2">
        <f>SQRT((E103-J103)^2+(E104-J104)^2)/2</f>
        <v>0.31501763619059664</v>
      </c>
    </row>
    <row r="116" spans="1:11" x14ac:dyDescent="0.3">
      <c r="B116" s="1" t="s">
        <v>49</v>
      </c>
      <c r="C116" s="1" t="s">
        <v>84</v>
      </c>
      <c r="D116" s="1" t="s">
        <v>85</v>
      </c>
      <c r="E116" s="1" t="s">
        <v>75</v>
      </c>
      <c r="F116" s="1" t="s">
        <v>76</v>
      </c>
      <c r="G116" s="1" t="s">
        <v>77</v>
      </c>
      <c r="H116" s="1" t="s">
        <v>78</v>
      </c>
      <c r="I116" s="1" t="s">
        <v>79</v>
      </c>
      <c r="J116" s="1" t="s">
        <v>80</v>
      </c>
      <c r="K116" s="1" t="s">
        <v>81</v>
      </c>
    </row>
    <row r="117" spans="1:11" x14ac:dyDescent="0.3">
      <c r="B117" s="1" t="s">
        <v>86</v>
      </c>
      <c r="C117" s="1">
        <v>0</v>
      </c>
      <c r="D117" s="1">
        <f>SQRT(($E$103-F103)^2+($E$104-F104)^2)</f>
        <v>0.43631276484459097</v>
      </c>
      <c r="E117" s="1">
        <f t="shared" ref="E117:K117" si="22">SQRT(($E$103-G103)^2+($E$104-G104)^2)</f>
        <v>0.1190055919077207</v>
      </c>
      <c r="F117" s="1">
        <f>SQRT(($E$103-H103)^2+($E$104-H104)^2)</f>
        <v>0.53615387543853754</v>
      </c>
      <c r="G117" s="1">
        <f t="shared" si="22"/>
        <v>0.56130680155433066</v>
      </c>
      <c r="H117" s="1">
        <f>SQRT(($E$103-J103)^2+($E$104-J104)^2)</f>
        <v>0.63003527238119328</v>
      </c>
      <c r="I117" s="1">
        <f t="shared" si="22"/>
        <v>0.12903225806451613</v>
      </c>
      <c r="J117" s="1">
        <f t="shared" si="22"/>
        <v>0.33476107690447521</v>
      </c>
      <c r="K117" s="1">
        <f t="shared" si="22"/>
        <v>0.37955009238923165</v>
      </c>
    </row>
    <row r="118" spans="1:11" x14ac:dyDescent="0.3">
      <c r="B118" s="1" t="s">
        <v>87</v>
      </c>
      <c r="C118" s="1">
        <f>SQRT(($J$103-E103)^2+($J$104-E104)^2)</f>
        <v>0.63003527238119328</v>
      </c>
      <c r="D118" s="1">
        <f>SQRT(($J$103-F103)^2+($J$104-F104)^2)</f>
        <v>0.23729662656975364</v>
      </c>
      <c r="E118" s="1">
        <f t="shared" ref="E118:G118" si="23">SQRT(($J$103-G103)^2+($J$104-G104)^2)</f>
        <v>0.51954208650582545</v>
      </c>
      <c r="F118" s="1">
        <f t="shared" si="23"/>
        <v>1.1230704087555305</v>
      </c>
      <c r="G118" s="1">
        <f t="shared" si="23"/>
        <v>6.9579531000396724E-2</v>
      </c>
      <c r="H118" s="1">
        <f>SQRT(($J$103-J103)^2+($J$104-J104)^2)</f>
        <v>0</v>
      </c>
      <c r="I118" s="1">
        <f t="shared" ref="I118:K118" si="24">SQRT(($J$103-K103)^2+($J$104-K104)^2)</f>
        <v>0.73663154027654032</v>
      </c>
      <c r="J118" s="1">
        <f>SQRT(($J$103-L103)^2+($J$104-L104)^2)</f>
        <v>0.30151130100171919</v>
      </c>
      <c r="K118" s="1">
        <f t="shared" si="24"/>
        <v>1.0084228753711124</v>
      </c>
    </row>
    <row r="119" spans="1:11" x14ac:dyDescent="0.3">
      <c r="B119" s="1" t="s">
        <v>50</v>
      </c>
      <c r="C119" s="1">
        <v>1</v>
      </c>
      <c r="D119" s="1">
        <v>2</v>
      </c>
      <c r="E119" s="1">
        <v>1</v>
      </c>
      <c r="F119" s="1">
        <v>1</v>
      </c>
      <c r="G119" s="1">
        <v>2</v>
      </c>
      <c r="H119" s="1">
        <v>2</v>
      </c>
      <c r="I119" s="1">
        <v>1</v>
      </c>
      <c r="J119" s="1">
        <v>2</v>
      </c>
      <c r="K119" s="1">
        <v>1</v>
      </c>
    </row>
    <row r="121" spans="1:11" x14ac:dyDescent="0.3">
      <c r="B121" s="2" t="s">
        <v>88</v>
      </c>
      <c r="C121" s="2" t="s">
        <v>90</v>
      </c>
      <c r="F121" s="2" t="s">
        <v>92</v>
      </c>
    </row>
    <row r="122" spans="1:11" x14ac:dyDescent="0.3">
      <c r="B122" s="2" t="s">
        <v>89</v>
      </c>
      <c r="C122" s="2" t="s">
        <v>90</v>
      </c>
      <c r="F122" s="2" t="s">
        <v>91</v>
      </c>
    </row>
    <row r="124" spans="1:11" x14ac:dyDescent="0.3">
      <c r="A124" s="2" t="s">
        <v>51</v>
      </c>
      <c r="B124" s="2" t="s">
        <v>93</v>
      </c>
    </row>
    <row r="125" spans="1:11" x14ac:dyDescent="0.3">
      <c r="B125" s="1" t="s">
        <v>94</v>
      </c>
      <c r="C125" s="1">
        <f>SQRT(($E$103-H103)^2+($E$104-H104)^2)</f>
        <v>0.53615387543853754</v>
      </c>
    </row>
    <row r="126" spans="1:11" x14ac:dyDescent="0.3">
      <c r="B126" s="1" t="s">
        <v>95</v>
      </c>
      <c r="C126" s="1">
        <f>SQRT(($E$103-J103)^2+($E$104-J104)^2)</f>
        <v>0.63003527238119328</v>
      </c>
    </row>
    <row r="127" spans="1:11" x14ac:dyDescent="0.3">
      <c r="B127" s="1" t="s">
        <v>96</v>
      </c>
      <c r="C127" s="1">
        <f>SQRT((H103-J103)^2+(H104-J104)^2)</f>
        <v>1.1230704087555305</v>
      </c>
    </row>
    <row r="129" spans="1:11" x14ac:dyDescent="0.3">
      <c r="B129" s="2" t="s">
        <v>83</v>
      </c>
      <c r="C129" s="2">
        <f>AVERAGE(C125:C127)</f>
        <v>0.76308651885842049</v>
      </c>
    </row>
    <row r="131" spans="1:11" x14ac:dyDescent="0.3">
      <c r="A131" s="2" t="s">
        <v>97</v>
      </c>
      <c r="B131" s="1" t="s">
        <v>49</v>
      </c>
      <c r="C131" s="1" t="s">
        <v>84</v>
      </c>
      <c r="D131" s="1" t="s">
        <v>85</v>
      </c>
      <c r="E131" s="1" t="s">
        <v>75</v>
      </c>
      <c r="F131" s="1" t="s">
        <v>76</v>
      </c>
      <c r="G131" s="1" t="s">
        <v>77</v>
      </c>
      <c r="H131" s="1" t="s">
        <v>78</v>
      </c>
      <c r="I131" s="1" t="s">
        <v>79</v>
      </c>
      <c r="J131" s="1" t="s">
        <v>80</v>
      </c>
      <c r="K131" s="1" t="s">
        <v>81</v>
      </c>
    </row>
    <row r="132" spans="1:11" x14ac:dyDescent="0.3">
      <c r="B132" s="1" t="s">
        <v>86</v>
      </c>
      <c r="C132" s="1">
        <v>0</v>
      </c>
      <c r="D132" s="1">
        <f>SQRT(($E$103-F103)^2+($E$104-F104)^2)</f>
        <v>0.43631276484459097</v>
      </c>
      <c r="E132" s="1">
        <f>SQRT(($E$103-G103)^2+($E$104-G104)^2)</f>
        <v>0.1190055919077207</v>
      </c>
      <c r="F132" s="1">
        <f t="shared" ref="F132:K132" si="25">SQRT(($E$103-H103)^2+($E$104-H104)^2)</f>
        <v>0.53615387543853754</v>
      </c>
      <c r="G132" s="1">
        <f t="shared" si="25"/>
        <v>0.56130680155433066</v>
      </c>
      <c r="H132" s="1">
        <f t="shared" si="25"/>
        <v>0.63003527238119328</v>
      </c>
      <c r="I132" s="1">
        <f t="shared" si="25"/>
        <v>0.12903225806451613</v>
      </c>
      <c r="J132" s="1">
        <f t="shared" si="25"/>
        <v>0.33476107690447521</v>
      </c>
      <c r="K132" s="1">
        <f t="shared" si="25"/>
        <v>0.37955009238923165</v>
      </c>
    </row>
    <row r="133" spans="1:11" x14ac:dyDescent="0.3">
      <c r="B133" s="1" t="s">
        <v>87</v>
      </c>
      <c r="C133" s="1">
        <f>SQRT(($J$103-E103)^2+($J$104-E104)^2)</f>
        <v>0.63003527238119328</v>
      </c>
      <c r="D133" s="1">
        <f t="shared" ref="D133:K133" si="26">SQRT(($J$103-F103)^2+($J$104-F104)^2)</f>
        <v>0.23729662656975364</v>
      </c>
      <c r="E133" s="1">
        <f t="shared" si="26"/>
        <v>0.51954208650582545</v>
      </c>
      <c r="F133" s="1">
        <f t="shared" si="26"/>
        <v>1.1230704087555305</v>
      </c>
      <c r="G133" s="1">
        <f t="shared" si="26"/>
        <v>6.9579531000396724E-2</v>
      </c>
      <c r="H133" s="1">
        <f t="shared" si="26"/>
        <v>0</v>
      </c>
      <c r="I133" s="1">
        <f t="shared" si="26"/>
        <v>0.73663154027654032</v>
      </c>
      <c r="J133" s="1">
        <f t="shared" si="26"/>
        <v>0.30151130100171919</v>
      </c>
      <c r="K133" s="1">
        <f t="shared" si="26"/>
        <v>1.0084228753711124</v>
      </c>
    </row>
    <row r="134" spans="1:11" x14ac:dyDescent="0.3">
      <c r="B134" s="1" t="s">
        <v>98</v>
      </c>
      <c r="C134" s="1">
        <f>SQRT(($F$117-C117)^2+($F$118-C118)^2)</f>
        <v>0.72838494207899729</v>
      </c>
      <c r="D134" s="1">
        <f t="shared" ref="D134:K134" si="27">SQRT(($F$117-D117)^2+($F$118-D118)^2)</f>
        <v>0.8913828810182125</v>
      </c>
      <c r="E134" s="1">
        <f t="shared" si="27"/>
        <v>0.73366145204055166</v>
      </c>
      <c r="F134" s="1">
        <f t="shared" si="27"/>
        <v>0</v>
      </c>
      <c r="G134" s="1">
        <f t="shared" si="27"/>
        <v>1.0537911079552098</v>
      </c>
      <c r="H134" s="1">
        <f t="shared" si="27"/>
        <v>1.1269875153320106</v>
      </c>
      <c r="I134" s="1">
        <f t="shared" si="27"/>
        <v>0.5613225546907602</v>
      </c>
      <c r="J134" s="1">
        <f t="shared" si="27"/>
        <v>0.84588322293010398</v>
      </c>
      <c r="K134" s="1">
        <f t="shared" si="27"/>
        <v>0.19408452224864645</v>
      </c>
    </row>
    <row r="135" spans="1:11" x14ac:dyDescent="0.3">
      <c r="B135" s="1" t="s">
        <v>50</v>
      </c>
      <c r="C135" s="1">
        <v>1</v>
      </c>
      <c r="D135" s="1">
        <v>2</v>
      </c>
      <c r="E135" s="1">
        <v>1</v>
      </c>
      <c r="F135" s="1">
        <v>3</v>
      </c>
      <c r="G135" s="1">
        <v>2</v>
      </c>
      <c r="H135" s="1">
        <v>2</v>
      </c>
      <c r="I135" s="1">
        <v>1</v>
      </c>
      <c r="J135" s="1">
        <v>2</v>
      </c>
      <c r="K135" s="1">
        <v>3</v>
      </c>
    </row>
    <row r="137" spans="1:11" x14ac:dyDescent="0.3">
      <c r="B137" s="2" t="s">
        <v>99</v>
      </c>
      <c r="C137" s="2" t="s">
        <v>102</v>
      </c>
    </row>
    <row r="138" spans="1:11" x14ac:dyDescent="0.3">
      <c r="B138" s="2" t="s">
        <v>100</v>
      </c>
      <c r="C138" s="2" t="s">
        <v>103</v>
      </c>
    </row>
    <row r="139" spans="1:11" x14ac:dyDescent="0.3">
      <c r="B139" s="2" t="s">
        <v>101</v>
      </c>
      <c r="C139" s="2" t="s">
        <v>104</v>
      </c>
    </row>
    <row r="140" spans="1:11" x14ac:dyDescent="0.3">
      <c r="B140" s="2" t="s">
        <v>105</v>
      </c>
    </row>
    <row r="141" spans="1:11" x14ac:dyDescent="0.3">
      <c r="B141" s="1" t="s">
        <v>21</v>
      </c>
      <c r="C141" s="1">
        <f>SQRT(($E$103-J103)^2+($E$104-J104)^2)</f>
        <v>0.63003527238119328</v>
      </c>
    </row>
    <row r="142" spans="1:11" x14ac:dyDescent="0.3">
      <c r="B142" s="1" t="s">
        <v>22</v>
      </c>
      <c r="C142" s="1">
        <f>SQRT((H103-G103)^2+(H104-G104)^2)</f>
        <v>0.65314416056863855</v>
      </c>
    </row>
    <row r="143" spans="1:11" x14ac:dyDescent="0.3">
      <c r="B143" s="1" t="s">
        <v>23</v>
      </c>
      <c r="C143" s="1">
        <f>SQRT((H103-H103)^2+(H104-H104)^2)</f>
        <v>0</v>
      </c>
    </row>
    <row r="144" spans="1:11" x14ac:dyDescent="0.3">
      <c r="B144" s="1" t="s">
        <v>24</v>
      </c>
      <c r="C144" s="1">
        <f>SQRT((H103-G103)^2+(H104-G104)^2)</f>
        <v>0.65314416056863855</v>
      </c>
    </row>
    <row r="146" spans="2:3" x14ac:dyDescent="0.3">
      <c r="B146" s="2" t="s">
        <v>106</v>
      </c>
      <c r="C146" s="2" t="s">
        <v>30</v>
      </c>
    </row>
    <row r="147" spans="2:3" x14ac:dyDescent="0.3">
      <c r="B147" s="2" t="s">
        <v>107</v>
      </c>
    </row>
    <row r="148" spans="2:3" x14ac:dyDescent="0.3">
      <c r="B148" s="2" t="s">
        <v>108</v>
      </c>
    </row>
  </sheetData>
  <mergeCells count="12">
    <mergeCell ref="B102:D102"/>
    <mergeCell ref="B103:D103"/>
    <mergeCell ref="B104:D104"/>
    <mergeCell ref="A12:C12"/>
    <mergeCell ref="A21:C21"/>
    <mergeCell ref="A22:C22"/>
    <mergeCell ref="A23:C23"/>
    <mergeCell ref="A2:C2"/>
    <mergeCell ref="A3:C3"/>
    <mergeCell ref="A4:C4"/>
    <mergeCell ref="A10:C10"/>
    <mergeCell ref="A11:C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2025-03-15T20:08:59Z</dcterms:created>
  <dcterms:modified xsi:type="dcterms:W3CDTF">2025-04-09T13:30:49Z</dcterms:modified>
</cp:coreProperties>
</file>