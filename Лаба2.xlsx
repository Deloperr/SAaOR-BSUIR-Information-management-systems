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OneDrive\Документы\саиио\"/>
    </mc:Choice>
  </mc:AlternateContent>
  <xr:revisionPtr revIDLastSave="0" documentId="13_ncr:1_{7A5AB03B-584C-49C0-A085-A47DF2A64E20}" xr6:coauthVersionLast="47" xr6:coauthVersionMax="47" xr10:uidLastSave="{00000000-0000-0000-0000-000000000000}"/>
  <bookViews>
    <workbookView xWindow="-108" yWindow="-108" windowWidth="23256" windowHeight="12456" xr2:uid="{DB425E9F-7000-4FAC-97E9-3659B394D2D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1" l="1"/>
  <c r="B41" i="1"/>
  <c r="B42" i="1"/>
  <c r="B43" i="1"/>
  <c r="B40" i="1"/>
  <c r="I35" i="1"/>
  <c r="M35" i="1" s="1"/>
  <c r="I34" i="1"/>
  <c r="M34" i="1" s="1"/>
  <c r="I33" i="1"/>
  <c r="M33" i="1" s="1"/>
  <c r="I32" i="1"/>
  <c r="M32" i="1" s="1"/>
  <c r="I31" i="1"/>
  <c r="I25" i="1"/>
  <c r="M25" i="1" s="1"/>
  <c r="I24" i="1"/>
  <c r="M24" i="1" s="1"/>
  <c r="I23" i="1"/>
  <c r="M23" i="1" s="1"/>
  <c r="I22" i="1"/>
  <c r="M22" i="1" s="1"/>
  <c r="I21" i="1"/>
  <c r="I26" i="1" s="1"/>
  <c r="I12" i="1"/>
  <c r="I13" i="1"/>
  <c r="I14" i="1"/>
  <c r="I15" i="1"/>
  <c r="I11" i="1"/>
  <c r="I4" i="1"/>
  <c r="I5" i="1"/>
  <c r="I3" i="1"/>
  <c r="I36" i="1" l="1"/>
  <c r="M31" i="1"/>
  <c r="M21" i="1"/>
  <c r="I16" i="1"/>
  <c r="M15" i="1"/>
  <c r="M13" i="1"/>
  <c r="M12" i="1"/>
  <c r="M11" i="1"/>
  <c r="M14" i="1"/>
  <c r="I6" i="1"/>
  <c r="M4" i="1" l="1"/>
  <c r="M3" i="1"/>
  <c r="M5" i="1"/>
</calcChain>
</file>

<file path=xl/sharedStrings.xml><?xml version="1.0" encoding="utf-8"?>
<sst xmlns="http://schemas.openxmlformats.org/spreadsheetml/2006/main" count="87" uniqueCount="28">
  <si>
    <t>Близость к источникам сырья</t>
  </si>
  <si>
    <t>Близость к потребителям</t>
  </si>
  <si>
    <t>Затраты на подготовку к строительству</t>
  </si>
  <si>
    <t>K1</t>
  </si>
  <si>
    <t>K2</t>
  </si>
  <si>
    <t>K3</t>
  </si>
  <si>
    <t>С1</t>
  </si>
  <si>
    <t>С2</t>
  </si>
  <si>
    <t>С3</t>
  </si>
  <si>
    <t>C</t>
  </si>
  <si>
    <t>L1</t>
  </si>
  <si>
    <t>L2</t>
  </si>
  <si>
    <t>L3</t>
  </si>
  <si>
    <t>М1</t>
  </si>
  <si>
    <t>М2</t>
  </si>
  <si>
    <t>М3</t>
  </si>
  <si>
    <t>М4</t>
  </si>
  <si>
    <t>М6</t>
  </si>
  <si>
    <t>С4</t>
  </si>
  <si>
    <t>С</t>
  </si>
  <si>
    <t>L4</t>
  </si>
  <si>
    <t>С6</t>
  </si>
  <si>
    <t>L6</t>
  </si>
  <si>
    <t>G1</t>
  </si>
  <si>
    <t>G2</t>
  </si>
  <si>
    <t>G3</t>
  </si>
  <si>
    <t>G4</t>
  </si>
  <si>
    <t>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</si>
</sst>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/>
    <xf numFmtId="1" fontId="0" fillId="0" borderId="0" xfId="0" applyNumberFormat="1"/>
    <xf numFmtId="1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563881</xdr:colOff>
      <xdr:row>65</xdr:row>
      <xdr:rowOff>149746</xdr:rowOff>
    </xdr:from>
    <xdr:to>
      <xdr:col>14</xdr:col>
      <xdr:colOff>236221</xdr:colOff>
      <xdr:row>75</xdr:row>
      <xdr:rowOff>93096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C40752D-1FC0-4341-8B57-F1ADE9562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1" y="12768466"/>
          <a:ext cx="4587240" cy="1772150"/>
        </a:xfrm>
        <a:prstGeom prst="rect">
          <a:avLst/>
        </a:prstGeom>
      </xdr:spPr>
    </xdr:pic>
    <xdr:clientData/>
  </xdr:twoCellAnchor>
  <xdr:twoCellAnchor editAs="oneCell">
    <xdr:from>
      <xdr:col>14</xdr:col>
      <xdr:colOff>335280</xdr:colOff>
      <xdr:row>64</xdr:row>
      <xdr:rowOff>167556</xdr:rowOff>
    </xdr:from>
    <xdr:to>
      <xdr:col>22</xdr:col>
      <xdr:colOff>395588</xdr:colOff>
      <xdr:row>75</xdr:row>
      <xdr:rowOff>155945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2DDCE5C-4729-48DA-A646-D46F12F7F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0" y="12603396"/>
          <a:ext cx="4937108" cy="200006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66</xdr:row>
      <xdr:rowOff>0</xdr:rowOff>
    </xdr:from>
    <xdr:to>
      <xdr:col>6</xdr:col>
      <xdr:colOff>507553</xdr:colOff>
      <xdr:row>76</xdr:row>
      <xdr:rowOff>64472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944626F-02CA-4916-88AA-F41A4480B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2801600"/>
          <a:ext cx="4172772" cy="1893272"/>
        </a:xfrm>
        <a:prstGeom prst="rect">
          <a:avLst/>
        </a:prstGeom>
      </xdr:spPr>
    </xdr:pic>
    <xdr:clientData/>
  </xdr:twoCellAnchor>
  <xdr:twoCellAnchor editAs="oneCell">
    <xdr:from>
      <xdr:col>13</xdr:col>
      <xdr:colOff>236220</xdr:colOff>
      <xdr:row>0</xdr:row>
      <xdr:rowOff>84132</xdr:rowOff>
    </xdr:from>
    <xdr:to>
      <xdr:col>22</xdr:col>
      <xdr:colOff>372332</xdr:colOff>
      <xdr:row>17</xdr:row>
      <xdr:rowOff>32458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EA90BC55-6895-4AFA-A751-A0B44B156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06740" y="84132"/>
          <a:ext cx="5622512" cy="37888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52</xdr:row>
      <xdr:rowOff>1</xdr:rowOff>
    </xdr:from>
    <xdr:to>
      <xdr:col>14</xdr:col>
      <xdr:colOff>283313</xdr:colOff>
      <xdr:row>57</xdr:row>
      <xdr:rowOff>175261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9EF0651F-017D-46F5-9DE4-BA797786E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65220" y="10241281"/>
          <a:ext cx="5198213" cy="1089660"/>
        </a:xfrm>
        <a:prstGeom prst="rect">
          <a:avLst/>
        </a:prstGeom>
      </xdr:spPr>
    </xdr:pic>
    <xdr:clientData/>
  </xdr:twoCellAnchor>
  <xdr:twoCellAnchor editAs="oneCell">
    <xdr:from>
      <xdr:col>15</xdr:col>
      <xdr:colOff>548640</xdr:colOff>
      <xdr:row>51</xdr:row>
      <xdr:rowOff>144780</xdr:rowOff>
    </xdr:from>
    <xdr:to>
      <xdr:col>20</xdr:col>
      <xdr:colOff>557783</xdr:colOff>
      <xdr:row>57</xdr:row>
      <xdr:rowOff>114167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503ABFC1-F5A7-44E0-B956-281B691FD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38360" y="10203180"/>
          <a:ext cx="3057143" cy="10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50</xdr:row>
      <xdr:rowOff>121920</xdr:rowOff>
    </xdr:from>
    <xdr:to>
      <xdr:col>5</xdr:col>
      <xdr:colOff>226320</xdr:colOff>
      <xdr:row>61</xdr:row>
      <xdr:rowOff>53097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8EA878B1-C470-45A1-963E-685173BB8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1940" y="9997440"/>
          <a:ext cx="3000000" cy="19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A895-0C52-4C59-905F-0022E3384C68}">
  <dimension ref="A1:M44"/>
  <sheetViews>
    <sheetView tabSelected="1" topLeftCell="A46" workbookViewId="0">
      <selection activeCell="A10" sqref="A10:F15"/>
    </sheetView>
  </sheetViews>
  <sheetFormatPr defaultRowHeight="14.4" x14ac:dyDescent="0.3"/>
  <cols>
    <col min="2" max="2" width="9" customWidth="1"/>
    <col min="3" max="4" width="8.88671875" customWidth="1"/>
    <col min="13" max="13" width="9.44140625" bestFit="1" customWidth="1"/>
  </cols>
  <sheetData>
    <row r="1" spans="1:13" ht="72" customHeight="1" x14ac:dyDescent="0.3">
      <c r="A1" s="2"/>
      <c r="B1" s="1" t="s">
        <v>0</v>
      </c>
      <c r="C1" s="1" t="s">
        <v>1</v>
      </c>
      <c r="D1" s="1" t="s">
        <v>2</v>
      </c>
    </row>
    <row r="2" spans="1:13" x14ac:dyDescent="0.3">
      <c r="B2" t="s">
        <v>3</v>
      </c>
      <c r="C2" t="s">
        <v>4</v>
      </c>
      <c r="D2" s="1" t="s">
        <v>5</v>
      </c>
    </row>
    <row r="3" spans="1:13" x14ac:dyDescent="0.3">
      <c r="H3" t="s">
        <v>6</v>
      </c>
      <c r="I3" s="3">
        <f>(B5*C5*D5)^(1/3)</f>
        <v>1.0772173450159419</v>
      </c>
      <c r="L3" t="s">
        <v>10</v>
      </c>
      <c r="M3">
        <f>I3/$I$6</f>
        <v>0.23114819437628897</v>
      </c>
    </row>
    <row r="4" spans="1:13" x14ac:dyDescent="0.3">
      <c r="B4" t="s">
        <v>3</v>
      </c>
      <c r="C4" t="s">
        <v>4</v>
      </c>
      <c r="D4" t="s">
        <v>5</v>
      </c>
      <c r="H4" t="s">
        <v>7</v>
      </c>
      <c r="I4" s="3">
        <f t="shared" ref="I4:I5" si="0">(B6*C6*D6)^(1/3)</f>
        <v>0.28114422176724979</v>
      </c>
      <c r="L4" t="s">
        <v>11</v>
      </c>
      <c r="M4">
        <f t="shared" ref="M4:M5" si="1">I4/$I$6</f>
        <v>6.0327639098556304E-2</v>
      </c>
    </row>
    <row r="5" spans="1:13" x14ac:dyDescent="0.3">
      <c r="A5" t="s">
        <v>3</v>
      </c>
      <c r="B5" s="4">
        <v>1</v>
      </c>
      <c r="C5" s="4">
        <v>5</v>
      </c>
      <c r="D5" s="5">
        <v>0.25</v>
      </c>
      <c r="H5" t="s">
        <v>8</v>
      </c>
      <c r="I5" s="3">
        <f t="shared" si="0"/>
        <v>3.3019272488946263</v>
      </c>
      <c r="L5" t="s">
        <v>12</v>
      </c>
      <c r="M5">
        <f t="shared" si="1"/>
        <v>0.70852416652515471</v>
      </c>
    </row>
    <row r="6" spans="1:13" x14ac:dyDescent="0.3">
      <c r="A6" t="s">
        <v>4</v>
      </c>
      <c r="B6" s="5">
        <v>0.2</v>
      </c>
      <c r="C6" s="4">
        <v>1</v>
      </c>
      <c r="D6" s="5">
        <v>0.1111111111111111</v>
      </c>
      <c r="H6" t="s">
        <v>9</v>
      </c>
      <c r="I6" s="3">
        <f>I3+I4+I5</f>
        <v>4.6602888156778182</v>
      </c>
    </row>
    <row r="7" spans="1:13" x14ac:dyDescent="0.3">
      <c r="A7" t="s">
        <v>5</v>
      </c>
      <c r="B7" s="4">
        <v>4</v>
      </c>
      <c r="C7" s="4">
        <v>9</v>
      </c>
      <c r="D7" s="4">
        <v>1</v>
      </c>
    </row>
    <row r="8" spans="1:13" x14ac:dyDescent="0.3">
      <c r="I8" s="5"/>
    </row>
    <row r="10" spans="1:13" x14ac:dyDescent="0.3">
      <c r="B10" t="s">
        <v>13</v>
      </c>
      <c r="C10" t="s">
        <v>14</v>
      </c>
      <c r="D10" t="s">
        <v>15</v>
      </c>
      <c r="E10" t="s">
        <v>16</v>
      </c>
      <c r="F10" t="s">
        <v>17</v>
      </c>
    </row>
    <row r="11" spans="1:13" x14ac:dyDescent="0.3">
      <c r="A11" t="s">
        <v>13</v>
      </c>
      <c r="B11" s="4">
        <v>1</v>
      </c>
      <c r="C11" s="4">
        <v>3</v>
      </c>
      <c r="D11" s="4">
        <v>7</v>
      </c>
      <c r="E11" s="4">
        <v>1</v>
      </c>
      <c r="F11" s="4">
        <v>5</v>
      </c>
      <c r="H11" t="s">
        <v>6</v>
      </c>
      <c r="I11" s="7">
        <f>(B11*C11*D11*E11*F11)^(1/5)</f>
        <v>2.5365174816357361</v>
      </c>
      <c r="L11" t="s">
        <v>10</v>
      </c>
      <c r="M11" s="6">
        <f>I11/$I$16</f>
        <v>0.36376016424305363</v>
      </c>
    </row>
    <row r="12" spans="1:13" x14ac:dyDescent="0.3">
      <c r="A12" t="s">
        <v>14</v>
      </c>
      <c r="B12" s="5">
        <v>0.33333333333333331</v>
      </c>
      <c r="C12" s="4">
        <v>1</v>
      </c>
      <c r="D12" s="4">
        <v>5</v>
      </c>
      <c r="E12" s="5">
        <v>0.33333333333333331</v>
      </c>
      <c r="F12" s="4">
        <v>3</v>
      </c>
      <c r="H12" t="s">
        <v>7</v>
      </c>
      <c r="I12" s="7">
        <f t="shared" ref="I12:I15" si="2">(B12*C12*D12*E12*F12)^(1/5)</f>
        <v>1.1075663432482898</v>
      </c>
      <c r="L12" t="s">
        <v>11</v>
      </c>
      <c r="M12" s="6">
        <f>I12/$I$16</f>
        <v>0.15883529991295925</v>
      </c>
    </row>
    <row r="13" spans="1:13" x14ac:dyDescent="0.3">
      <c r="A13" t="s">
        <v>15</v>
      </c>
      <c r="B13" s="5">
        <v>0.14285714285714285</v>
      </c>
      <c r="C13" s="5">
        <v>0.2</v>
      </c>
      <c r="D13" s="4">
        <v>1</v>
      </c>
      <c r="E13" s="5">
        <v>0.14285714285714285</v>
      </c>
      <c r="F13" s="5">
        <v>0.33333333333333331</v>
      </c>
      <c r="H13" t="s">
        <v>8</v>
      </c>
      <c r="I13" s="7">
        <f t="shared" si="2"/>
        <v>0.26714222090182749</v>
      </c>
      <c r="L13" t="s">
        <v>12</v>
      </c>
      <c r="M13" s="6">
        <f>I13/$I$16</f>
        <v>3.8310675504919733E-2</v>
      </c>
    </row>
    <row r="14" spans="1:13" x14ac:dyDescent="0.3">
      <c r="A14" t="s">
        <v>16</v>
      </c>
      <c r="B14" s="4">
        <v>1</v>
      </c>
      <c r="C14" s="4">
        <v>3</v>
      </c>
      <c r="D14" s="4">
        <v>7</v>
      </c>
      <c r="E14" s="4">
        <v>1</v>
      </c>
      <c r="F14" s="4">
        <v>5</v>
      </c>
      <c r="H14" t="s">
        <v>18</v>
      </c>
      <c r="I14" s="7">
        <f t="shared" si="2"/>
        <v>2.5365174816357361</v>
      </c>
      <c r="L14" t="s">
        <v>20</v>
      </c>
      <c r="M14" s="6">
        <f>I14/$I$16</f>
        <v>0.36376016424305363</v>
      </c>
    </row>
    <row r="15" spans="1:13" x14ac:dyDescent="0.3">
      <c r="A15" t="s">
        <v>17</v>
      </c>
      <c r="B15" s="5">
        <v>0.2</v>
      </c>
      <c r="C15" s="5">
        <v>0.33333333333333331</v>
      </c>
      <c r="D15" s="4">
        <v>3</v>
      </c>
      <c r="E15" s="5">
        <v>0.2</v>
      </c>
      <c r="F15" s="4">
        <v>1</v>
      </c>
      <c r="H15" t="s">
        <v>21</v>
      </c>
      <c r="I15" s="7">
        <f t="shared" si="2"/>
        <v>0.52530556088075342</v>
      </c>
      <c r="L15" t="s">
        <v>22</v>
      </c>
      <c r="M15" s="6">
        <f>I15/$I$16</f>
        <v>7.5333696096013592E-2</v>
      </c>
    </row>
    <row r="16" spans="1:13" x14ac:dyDescent="0.3">
      <c r="D16" s="4"/>
      <c r="H16" t="s">
        <v>19</v>
      </c>
      <c r="I16" s="7">
        <f>I11+I12+I13+I14+I15</f>
        <v>6.9730490883023437</v>
      </c>
    </row>
    <row r="20" spans="1:13" x14ac:dyDescent="0.3">
      <c r="B20" t="s">
        <v>13</v>
      </c>
      <c r="C20" t="s">
        <v>14</v>
      </c>
      <c r="D20" t="s">
        <v>15</v>
      </c>
      <c r="E20" t="s">
        <v>16</v>
      </c>
      <c r="F20" t="s">
        <v>17</v>
      </c>
    </row>
    <row r="21" spans="1:13" x14ac:dyDescent="0.3">
      <c r="A21" t="s">
        <v>13</v>
      </c>
      <c r="B21" s="4">
        <v>1</v>
      </c>
      <c r="C21" s="5">
        <v>0.33333333333333331</v>
      </c>
      <c r="D21" s="5">
        <v>0.2</v>
      </c>
      <c r="E21" s="4">
        <v>3</v>
      </c>
      <c r="F21" s="5">
        <v>0.14285714285714285</v>
      </c>
      <c r="H21" t="s">
        <v>6</v>
      </c>
      <c r="I21" s="7">
        <f>(B21*C21*D21*E21*F21)^(1/5)</f>
        <v>0.49111860991873663</v>
      </c>
      <c r="L21" t="s">
        <v>10</v>
      </c>
      <c r="M21" s="6">
        <f>I21/$I$16</f>
        <v>7.043096982389152E-2</v>
      </c>
    </row>
    <row r="22" spans="1:13" x14ac:dyDescent="0.3">
      <c r="A22" t="s">
        <v>14</v>
      </c>
      <c r="B22" s="4">
        <v>3</v>
      </c>
      <c r="C22" s="4">
        <v>1</v>
      </c>
      <c r="D22" s="5">
        <v>0.33333333333333331</v>
      </c>
      <c r="E22" s="4">
        <v>5</v>
      </c>
      <c r="F22" s="5">
        <v>0.2</v>
      </c>
      <c r="H22" t="s">
        <v>7</v>
      </c>
      <c r="I22" s="7">
        <f t="shared" ref="I22:I25" si="3">(B22*C22*D22*E22*F22)^(1/5)</f>
        <v>1</v>
      </c>
      <c r="L22" t="s">
        <v>11</v>
      </c>
      <c r="M22" s="6">
        <f>I22/$I$16</f>
        <v>0.14340928729120128</v>
      </c>
    </row>
    <row r="23" spans="1:13" x14ac:dyDescent="0.3">
      <c r="A23" t="s">
        <v>15</v>
      </c>
      <c r="B23" s="4">
        <v>5</v>
      </c>
      <c r="C23" s="4">
        <v>3</v>
      </c>
      <c r="D23" s="4">
        <v>1</v>
      </c>
      <c r="E23" s="4">
        <v>7</v>
      </c>
      <c r="F23" s="5">
        <v>0.33333333333333331</v>
      </c>
      <c r="H23" t="s">
        <v>8</v>
      </c>
      <c r="I23" s="7">
        <f t="shared" si="3"/>
        <v>2.0361680046403983</v>
      </c>
      <c r="L23" t="s">
        <v>12</v>
      </c>
      <c r="M23" s="6">
        <f>I23/$I$16</f>
        <v>0.29200540235062694</v>
      </c>
    </row>
    <row r="24" spans="1:13" x14ac:dyDescent="0.3">
      <c r="A24" t="s">
        <v>16</v>
      </c>
      <c r="B24" s="5">
        <v>0.33333333333333331</v>
      </c>
      <c r="C24" s="5">
        <v>0.2</v>
      </c>
      <c r="D24" s="5">
        <v>0.14285714285714285</v>
      </c>
      <c r="E24" s="4">
        <v>1</v>
      </c>
      <c r="F24" s="5">
        <v>0.1111111111111111</v>
      </c>
      <c r="H24" t="s">
        <v>18</v>
      </c>
      <c r="I24" s="7">
        <f t="shared" si="3"/>
        <v>0.25404674702328517</v>
      </c>
      <c r="L24" t="s">
        <v>20</v>
      </c>
      <c r="M24" s="6">
        <f>I24/$I$16</f>
        <v>3.6432662929257439E-2</v>
      </c>
    </row>
    <row r="25" spans="1:13" x14ac:dyDescent="0.3">
      <c r="A25" t="s">
        <v>17</v>
      </c>
      <c r="B25" s="4">
        <v>7</v>
      </c>
      <c r="C25" s="4">
        <v>5</v>
      </c>
      <c r="D25" s="4">
        <v>3</v>
      </c>
      <c r="E25" s="4">
        <v>9</v>
      </c>
      <c r="F25" s="4">
        <v>1</v>
      </c>
      <c r="H25" t="s">
        <v>21</v>
      </c>
      <c r="I25" s="7">
        <f t="shared" si="3"/>
        <v>3.9362834270353519</v>
      </c>
      <c r="L25" t="s">
        <v>22</v>
      </c>
      <c r="M25" s="6">
        <f>I25/$I$16</f>
        <v>0.5644996008473071</v>
      </c>
    </row>
    <row r="26" spans="1:13" x14ac:dyDescent="0.3">
      <c r="D26" s="4"/>
      <c r="H26" t="s">
        <v>19</v>
      </c>
      <c r="I26" s="7">
        <f>I21+I22+I23+I24+I25</f>
        <v>7.7176167886177716</v>
      </c>
    </row>
    <row r="30" spans="1:13" x14ac:dyDescent="0.3">
      <c r="B30" t="s">
        <v>13</v>
      </c>
      <c r="C30" t="s">
        <v>14</v>
      </c>
      <c r="D30" t="s">
        <v>15</v>
      </c>
      <c r="E30" t="s">
        <v>16</v>
      </c>
      <c r="F30" t="s">
        <v>17</v>
      </c>
    </row>
    <row r="31" spans="1:13" x14ac:dyDescent="0.3">
      <c r="A31" t="s">
        <v>13</v>
      </c>
      <c r="B31" s="4">
        <v>1</v>
      </c>
      <c r="C31" s="4">
        <v>7</v>
      </c>
      <c r="D31" s="4">
        <v>3</v>
      </c>
      <c r="E31" s="5">
        <v>0.33333333333333331</v>
      </c>
      <c r="F31" s="4">
        <v>5</v>
      </c>
      <c r="H31" t="s">
        <v>6</v>
      </c>
      <c r="I31" s="7">
        <f>(B31*C31*D31*E31*F31)^(1/5)</f>
        <v>2.0361680046403983</v>
      </c>
      <c r="L31" t="s">
        <v>10</v>
      </c>
      <c r="M31" s="6">
        <f>I31/$I$16</f>
        <v>0.29200540235062694</v>
      </c>
    </row>
    <row r="32" spans="1:13" x14ac:dyDescent="0.3">
      <c r="A32" t="s">
        <v>14</v>
      </c>
      <c r="B32" s="5">
        <v>0.14285714285714285</v>
      </c>
      <c r="C32" s="4">
        <v>1</v>
      </c>
      <c r="D32" s="5">
        <v>0.2</v>
      </c>
      <c r="E32" s="5">
        <v>0.1111111111111111</v>
      </c>
      <c r="F32" s="5">
        <v>0.33333333333333331</v>
      </c>
      <c r="H32" t="s">
        <v>7</v>
      </c>
      <c r="I32" s="7">
        <f t="shared" ref="I32:I35" si="4">(B32*C32*D32*E32*F32)^(1/5)</f>
        <v>0.25404674702328517</v>
      </c>
      <c r="L32" t="s">
        <v>11</v>
      </c>
      <c r="M32" s="6">
        <f>I32/$I$16</f>
        <v>3.6432662929257439E-2</v>
      </c>
    </row>
    <row r="33" spans="1:13" x14ac:dyDescent="0.3">
      <c r="A33" t="s">
        <v>15</v>
      </c>
      <c r="B33" s="5">
        <v>0.33333333333333331</v>
      </c>
      <c r="C33" s="4">
        <v>5</v>
      </c>
      <c r="D33" s="4">
        <v>1</v>
      </c>
      <c r="E33" s="5">
        <v>0.2</v>
      </c>
      <c r="F33" s="4">
        <v>3</v>
      </c>
      <c r="H33" t="s">
        <v>8</v>
      </c>
      <c r="I33" s="7">
        <f t="shared" si="4"/>
        <v>1</v>
      </c>
      <c r="L33" t="s">
        <v>12</v>
      </c>
      <c r="M33" s="6">
        <f>I33/$I$16</f>
        <v>0.14340928729120128</v>
      </c>
    </row>
    <row r="34" spans="1:13" x14ac:dyDescent="0.3">
      <c r="A34" t="s">
        <v>16</v>
      </c>
      <c r="B34" s="4">
        <v>3</v>
      </c>
      <c r="C34" s="4">
        <v>9</v>
      </c>
      <c r="D34" s="4">
        <v>5</v>
      </c>
      <c r="E34" s="4">
        <v>1</v>
      </c>
      <c r="F34" s="4">
        <v>7</v>
      </c>
      <c r="H34" t="s">
        <v>18</v>
      </c>
      <c r="I34" s="7">
        <f t="shared" si="4"/>
        <v>3.9362834270353519</v>
      </c>
      <c r="L34" t="s">
        <v>20</v>
      </c>
      <c r="M34" s="6">
        <f>I34/$I$16</f>
        <v>0.5644996008473071</v>
      </c>
    </row>
    <row r="35" spans="1:13" x14ac:dyDescent="0.3">
      <c r="A35" t="s">
        <v>17</v>
      </c>
      <c r="B35" s="5">
        <v>0.2</v>
      </c>
      <c r="C35" s="4">
        <v>3</v>
      </c>
      <c r="D35" s="5">
        <v>0.33333333333333331</v>
      </c>
      <c r="E35" s="5">
        <v>0.14285714285714285</v>
      </c>
      <c r="F35" s="4">
        <v>1</v>
      </c>
      <c r="H35" t="s">
        <v>21</v>
      </c>
      <c r="I35" s="7">
        <f t="shared" si="4"/>
        <v>0.49111860991873663</v>
      </c>
      <c r="L35" t="s">
        <v>22</v>
      </c>
      <c r="M35" s="6">
        <f>I35/$I$16</f>
        <v>7.043096982389152E-2</v>
      </c>
    </row>
    <row r="36" spans="1:13" x14ac:dyDescent="0.3">
      <c r="D36" s="4"/>
      <c r="H36" t="s">
        <v>19</v>
      </c>
      <c r="I36" s="7">
        <f>I31+I32+I33+I34+I35</f>
        <v>7.7176167886177724</v>
      </c>
    </row>
    <row r="40" spans="1:13" x14ac:dyDescent="0.3">
      <c r="A40" t="s">
        <v>23</v>
      </c>
      <c r="B40">
        <f>M11*$M$3+M21*$M$4+M31*$M$5</f>
        <v>0.29522432360102163</v>
      </c>
    </row>
    <row r="41" spans="1:13" x14ac:dyDescent="0.3">
      <c r="A41" t="s">
        <v>24</v>
      </c>
      <c r="B41">
        <f t="shared" ref="B41:B43" si="5">M12*$M$3+M22*$M$4+M32*$M$5</f>
        <v>7.1179458641425664E-2</v>
      </c>
    </row>
    <row r="42" spans="1:13" x14ac:dyDescent="0.3">
      <c r="A42" t="s">
        <v>25</v>
      </c>
      <c r="B42">
        <f t="shared" si="5"/>
        <v>0.12808038574610031</v>
      </c>
    </row>
    <row r="43" spans="1:13" x14ac:dyDescent="0.3">
      <c r="A43" t="s">
        <v>26</v>
      </c>
      <c r="B43">
        <f t="shared" si="5"/>
        <v>0.48624201088552055</v>
      </c>
    </row>
    <row r="44" spans="1:13" x14ac:dyDescent="0.3">
      <c r="A44" t="s">
        <v>27</v>
      </c>
      <c r="B44">
        <f>M15*$M$3+M25*$M$4+M35*$M$5</f>
        <v>0.10137022021151212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Харкевич</dc:creator>
  <cp:lastModifiedBy>Артем Харкевич</cp:lastModifiedBy>
  <dcterms:created xsi:type="dcterms:W3CDTF">2025-02-18T18:24:54Z</dcterms:created>
  <dcterms:modified xsi:type="dcterms:W3CDTF">2014-02-20T13:57:00Z</dcterms:modified>
</cp:coreProperties>
</file>