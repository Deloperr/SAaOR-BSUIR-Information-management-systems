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ashryae/Downloads/"/>
    </mc:Choice>
  </mc:AlternateContent>
  <xr:revisionPtr revIDLastSave="0" documentId="8_{6CFAC42D-9BA3-3848-BBE5-55D24AAEF5BE}" xr6:coauthVersionLast="47" xr6:coauthVersionMax="47" xr10:uidLastSave="{00000000-0000-0000-0000-000000000000}"/>
  <bookViews>
    <workbookView xWindow="-36000" yWindow="0" windowWidth="36000" windowHeight="22500" activeTab="1" xr2:uid="{00000000-000D-0000-FFFF-FFFF00000000}"/>
  </bookViews>
  <sheets>
    <sheet name="Титульник" sheetId="3" r:id="rId1"/>
    <sheet name="Задание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0" i="4" l="1"/>
  <c r="E59" i="4"/>
  <c r="E58" i="4"/>
</calcChain>
</file>

<file path=xl/sharedStrings.xml><?xml version="1.0" encoding="utf-8"?>
<sst xmlns="http://schemas.openxmlformats.org/spreadsheetml/2006/main" count="108" uniqueCount="59">
  <si>
    <t>ТНР</t>
  </si>
  <si>
    <t xml:space="preserve">Министерство образования Республики Беларусь </t>
  </si>
  <si>
    <t xml:space="preserve">Учреждение образования </t>
  </si>
  <si>
    <t xml:space="preserve">БЕЛОРУССКИЙ ГОСУДАРСТВЕННЫЙ УНИВЕРСИТЕТ ИНФОРМАТИКИ И РАДИОЭЛЕКТРОНИКИ </t>
  </si>
  <si>
    <t>Факультет информационных технологий и управления</t>
  </si>
  <si>
    <t>Кафедра систем управления</t>
  </si>
  <si>
    <t xml:space="preserve">Отчёт </t>
  </si>
  <si>
    <t>Выполнили:</t>
  </si>
  <si>
    <t>Проверил:</t>
  </si>
  <si>
    <t>Протченко Е. В.</t>
  </si>
  <si>
    <t>Минск 2025</t>
  </si>
  <si>
    <t>«РЕШЕНИЕ ЗАДАЧ ОПТИМИЗАЦИИ НА ОСНОВЕ МЕТОДОВ ЛИНЕЙНОГО ЦЕЛОЧИСЛЕННОГО ПРОГРАММИРОВАНИЯ»</t>
  </si>
  <si>
    <t>по лабораторной работе №3</t>
  </si>
  <si>
    <t>4*Х1 + 6*Х2 ≤ 100</t>
  </si>
  <si>
    <t>7*Х1 + 4*Х2 ≤ 120</t>
  </si>
  <si>
    <t>Х1 ≤12</t>
  </si>
  <si>
    <t>E=45X1+30X2-&gt;max</t>
  </si>
  <si>
    <t>X1=12,31</t>
  </si>
  <si>
    <t>X2=8,46</t>
  </si>
  <si>
    <t>X1=12</t>
  </si>
  <si>
    <t>X1=13</t>
  </si>
  <si>
    <t>X2=7,25</t>
  </si>
  <si>
    <t>E=802,5</t>
  </si>
  <si>
    <t>E=780</t>
  </si>
  <si>
    <t>X2=8</t>
  </si>
  <si>
    <t>X2=9</t>
  </si>
  <si>
    <t>X1=11,5</t>
  </si>
  <si>
    <t>E=787,5</t>
  </si>
  <si>
    <t>E=807,6923</t>
  </si>
  <si>
    <t>X2=7</t>
  </si>
  <si>
    <t>X1=13,14</t>
  </si>
  <si>
    <t>E=801,43</t>
  </si>
  <si>
    <t>X1=14</t>
  </si>
  <si>
    <t>X2=5,5</t>
  </si>
  <si>
    <t>E=795</t>
  </si>
  <si>
    <t>Нет решений</t>
  </si>
  <si>
    <t>Х2 ≤8</t>
  </si>
  <si>
    <t>Х2 ≥9</t>
  </si>
  <si>
    <t>X1=12,57</t>
  </si>
  <si>
    <t>E=805,71</t>
  </si>
  <si>
    <t>Х1≥13</t>
  </si>
  <si>
    <t>Х2≥8</t>
  </si>
  <si>
    <t>Х1≥14</t>
  </si>
  <si>
    <t>Табличный процессор</t>
  </si>
  <si>
    <t>X1</t>
  </si>
  <si>
    <t>X2</t>
  </si>
  <si>
    <t>Решение</t>
  </si>
  <si>
    <t>Целевая функция</t>
  </si>
  <si>
    <t>-&gt;</t>
  </si>
  <si>
    <t>max</t>
  </si>
  <si>
    <t>Ограничения</t>
  </si>
  <si>
    <t>&lt;=</t>
  </si>
  <si>
    <t>Вывод: оптимальное решение у нас будет при Х1=13, Х2=7.Прибыль составит 795 д.е. При этом алюминия у нас останется 6кг, стали 1кг.</t>
  </si>
  <si>
    <r>
      <t>Х1</t>
    </r>
    <r>
      <rPr>
        <sz val="12"/>
        <color theme="1"/>
        <rFont val="Calibri"/>
        <family val="2"/>
      </rPr>
      <t>≥13</t>
    </r>
  </si>
  <si>
    <r>
      <t>Х1</t>
    </r>
    <r>
      <rPr>
        <sz val="12"/>
        <color theme="1"/>
        <rFont val="Calibri"/>
        <family val="2"/>
      </rPr>
      <t>≤12</t>
    </r>
  </si>
  <si>
    <r>
      <t>Х1</t>
    </r>
    <r>
      <rPr>
        <sz val="12"/>
        <color theme="1"/>
        <rFont val="Calibri"/>
        <family val="2"/>
      </rPr>
      <t>≥12</t>
    </r>
  </si>
  <si>
    <r>
      <t>Х2</t>
    </r>
    <r>
      <rPr>
        <sz val="12"/>
        <color theme="1"/>
        <rFont val="Calibri"/>
        <family val="2"/>
      </rPr>
      <t>≤7</t>
    </r>
  </si>
  <si>
    <r>
      <t>Х1</t>
    </r>
    <r>
      <rPr>
        <sz val="12"/>
        <color theme="1"/>
        <rFont val="Calibri"/>
        <family val="2"/>
      </rPr>
      <t>≤</t>
    </r>
    <r>
      <rPr>
        <sz val="12"/>
        <color theme="1"/>
        <rFont val="Calibri"/>
        <family val="2"/>
        <scheme val="minor"/>
      </rPr>
      <t>13</t>
    </r>
  </si>
  <si>
    <t>гр.320xxx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</si>
</sst>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4" borderId="1" xfId="0" applyFont="1" applyFill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12</xdr:col>
      <xdr:colOff>449384</xdr:colOff>
      <xdr:row>10</xdr:row>
      <xdr:rowOff>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E4083208-FCA6-4518-86BB-5E6D36041E44}"/>
            </a:ext>
          </a:extLst>
        </xdr:cNvPr>
        <xdr:cNvCxnSpPr/>
      </xdr:nvCxnSpPr>
      <xdr:spPr>
        <a:xfrm>
          <a:off x="6056923" y="1445846"/>
          <a:ext cx="1660769" cy="5568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</xdr:row>
      <xdr:rowOff>19539</xdr:rowOff>
    </xdr:from>
    <xdr:to>
      <xdr:col>9</xdr:col>
      <xdr:colOff>527538</xdr:colOff>
      <xdr:row>9</xdr:row>
      <xdr:rowOff>171248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3669B469-E64B-4CB2-B702-1948F9BED8FA}"/>
            </a:ext>
          </a:extLst>
        </xdr:cNvPr>
        <xdr:cNvCxnSpPr/>
      </xdr:nvCxnSpPr>
      <xdr:spPr>
        <a:xfrm flipH="1">
          <a:off x="4239846" y="1465385"/>
          <a:ext cx="1738923" cy="52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68384</xdr:colOff>
      <xdr:row>17</xdr:row>
      <xdr:rowOff>9770</xdr:rowOff>
    </xdr:from>
    <xdr:to>
      <xdr:col>7</xdr:col>
      <xdr:colOff>9769</xdr:colOff>
      <xdr:row>18</xdr:row>
      <xdr:rowOff>117231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6525F008-5C58-4951-A965-9C4A0F225270}"/>
            </a:ext>
          </a:extLst>
        </xdr:cNvPr>
        <xdr:cNvCxnSpPr/>
      </xdr:nvCxnSpPr>
      <xdr:spPr>
        <a:xfrm flipH="1">
          <a:off x="3096846" y="3458308"/>
          <a:ext cx="1152769" cy="2930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351693</xdr:colOff>
      <xdr:row>18</xdr:row>
      <xdr:rowOff>127000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A20DF38A-7C5D-4DC6-B375-E81E101CD987}"/>
            </a:ext>
          </a:extLst>
        </xdr:cNvPr>
        <xdr:cNvCxnSpPr/>
      </xdr:nvCxnSpPr>
      <xdr:spPr>
        <a:xfrm>
          <a:off x="4239846" y="3448538"/>
          <a:ext cx="957385" cy="3126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273538</xdr:colOff>
      <xdr:row>18</xdr:row>
      <xdr:rowOff>136770</xdr:rowOff>
    </xdr:from>
    <xdr:to>
      <xdr:col>13</xdr:col>
      <xdr:colOff>207477</xdr:colOff>
      <xdr:row>27</xdr:row>
      <xdr:rowOff>97444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67B50F30-9DE5-45A7-97CC-9524F0B44723}"/>
            </a:ext>
          </a:extLst>
        </xdr:cNvPr>
        <xdr:cNvCxnSpPr/>
      </xdr:nvCxnSpPr>
      <xdr:spPr>
        <a:xfrm>
          <a:off x="6330461" y="3770924"/>
          <a:ext cx="1751016" cy="17777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420076</xdr:colOff>
      <xdr:row>18</xdr:row>
      <xdr:rowOff>127000</xdr:rowOff>
    </xdr:from>
    <xdr:to>
      <xdr:col>16</xdr:col>
      <xdr:colOff>354015</xdr:colOff>
      <xdr:row>27</xdr:row>
      <xdr:rowOff>87674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F7B49DCD-E5FD-4B0C-805C-D68CC789824B}"/>
            </a:ext>
          </a:extLst>
        </xdr:cNvPr>
        <xdr:cNvCxnSpPr/>
      </xdr:nvCxnSpPr>
      <xdr:spPr>
        <a:xfrm>
          <a:off x="8294076" y="3761154"/>
          <a:ext cx="1751016" cy="17777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371231</xdr:colOff>
      <xdr:row>17</xdr:row>
      <xdr:rowOff>97693</xdr:rowOff>
    </xdr:from>
    <xdr:to>
      <xdr:col>16</xdr:col>
      <xdr:colOff>283012</xdr:colOff>
      <xdr:row>26</xdr:row>
      <xdr:rowOff>150451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6483B512-738C-4BA4-9946-DB85151E2CC7}"/>
            </a:ext>
          </a:extLst>
        </xdr:cNvPr>
        <xdr:cNvCxnSpPr/>
      </xdr:nvCxnSpPr>
      <xdr:spPr>
        <a:xfrm flipV="1">
          <a:off x="8245231" y="3546231"/>
          <a:ext cx="1728858" cy="18600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371231</xdr:colOff>
      <xdr:row>18</xdr:row>
      <xdr:rowOff>156308</xdr:rowOff>
    </xdr:from>
    <xdr:to>
      <xdr:col>13</xdr:col>
      <xdr:colOff>283012</xdr:colOff>
      <xdr:row>28</xdr:row>
      <xdr:rowOff>13682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2F4297B5-D278-4480-A1A9-731F08E2F72A}"/>
            </a:ext>
          </a:extLst>
        </xdr:cNvPr>
        <xdr:cNvCxnSpPr/>
      </xdr:nvCxnSpPr>
      <xdr:spPr>
        <a:xfrm flipV="1">
          <a:off x="6428154" y="3790462"/>
          <a:ext cx="1728858" cy="18600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136769</xdr:colOff>
      <xdr:row>27</xdr:row>
      <xdr:rowOff>0</xdr:rowOff>
    </xdr:from>
    <xdr:to>
      <xdr:col>9</xdr:col>
      <xdr:colOff>78153</xdr:colOff>
      <xdr:row>28</xdr:row>
      <xdr:rowOff>107462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3E448475-E601-4192-ABB5-32F731B3D5A3}"/>
            </a:ext>
          </a:extLst>
        </xdr:cNvPr>
        <xdr:cNvCxnSpPr/>
      </xdr:nvCxnSpPr>
      <xdr:spPr>
        <a:xfrm flipH="1">
          <a:off x="4376615" y="5451231"/>
          <a:ext cx="1152769" cy="2930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0</xdr:rowOff>
    </xdr:from>
    <xdr:to>
      <xdr:col>10</xdr:col>
      <xdr:colOff>351693</xdr:colOff>
      <xdr:row>28</xdr:row>
      <xdr:rowOff>127001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79FE24AD-220E-4A2A-A790-617988147F2B}"/>
            </a:ext>
          </a:extLst>
        </xdr:cNvPr>
        <xdr:cNvCxnSpPr/>
      </xdr:nvCxnSpPr>
      <xdr:spPr>
        <a:xfrm>
          <a:off x="5451231" y="5451231"/>
          <a:ext cx="957385" cy="3126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244230</xdr:colOff>
      <xdr:row>38</xdr:row>
      <xdr:rowOff>19539</xdr:rowOff>
    </xdr:from>
    <xdr:to>
      <xdr:col>6</xdr:col>
      <xdr:colOff>566615</xdr:colOff>
      <xdr:row>40</xdr:row>
      <xdr:rowOff>175846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4662D7FE-E6FC-4A8A-88FF-57C19FB439D7}"/>
            </a:ext>
          </a:extLst>
        </xdr:cNvPr>
        <xdr:cNvCxnSpPr/>
      </xdr:nvCxnSpPr>
      <xdr:spPr>
        <a:xfrm flipH="1">
          <a:off x="3272692" y="7659077"/>
          <a:ext cx="928077" cy="5275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38</xdr:row>
      <xdr:rowOff>0</xdr:rowOff>
    </xdr:from>
    <xdr:to>
      <xdr:col>8</xdr:col>
      <xdr:colOff>263770</xdr:colOff>
      <xdr:row>41</xdr:row>
      <xdr:rowOff>39077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EC65D66B-55A6-4171-8B1D-803ACC8B08D8}"/>
            </a:ext>
          </a:extLst>
        </xdr:cNvPr>
        <xdr:cNvCxnSpPr/>
      </xdr:nvCxnSpPr>
      <xdr:spPr>
        <a:xfrm>
          <a:off x="4239846" y="7639538"/>
          <a:ext cx="869462" cy="5959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B8C0-BACB-4791-B141-5293B9A58A2D}">
  <dimension ref="A1:J32"/>
  <sheetViews>
    <sheetView workbookViewId="0">
      <selection activeCell="H34" sqref="H34"/>
    </sheetView>
  </sheetViews>
  <sheetFormatPr baseColWidth="10" defaultColWidth="8.83203125" defaultRowHeight="15" x14ac:dyDescent="0.2"/>
  <cols>
    <col min="2" max="2" width="13" customWidth="1"/>
    <col min="10" max="10" width="9.5" customWidth="1"/>
  </cols>
  <sheetData>
    <row r="1" spans="1:10" ht="18" x14ac:dyDescent="0.2">
      <c r="A1" s="13" t="s">
        <v>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x14ac:dyDescent="0.2">
      <c r="A2" s="13" t="s">
        <v>2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2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x14ac:dyDescent="0.2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 ht="18" x14ac:dyDescent="0.2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ht="18" x14ac:dyDescent="0.2">
      <c r="A6" s="13" t="s">
        <v>5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2">
      <c r="A7" s="3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3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3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3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3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3"/>
      <c r="B12" s="1"/>
      <c r="C12" s="1"/>
      <c r="D12" s="1"/>
      <c r="E12" s="1"/>
      <c r="F12" s="1"/>
      <c r="G12" s="1"/>
      <c r="H12" s="1"/>
      <c r="I12" s="1"/>
      <c r="J12" s="1"/>
    </row>
    <row r="13" spans="1:10" ht="18" x14ac:dyDescent="0.2">
      <c r="A13" s="13" t="s">
        <v>6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18" x14ac:dyDescent="0.2">
      <c r="A14" s="13" t="s">
        <v>12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4" t="s">
        <v>11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21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ht="18" x14ac:dyDescent="0.2">
      <c r="A17" s="2"/>
    </row>
    <row r="18" spans="1:10" ht="18" x14ac:dyDescent="0.2">
      <c r="A18" s="2"/>
    </row>
    <row r="19" spans="1:10" ht="18" x14ac:dyDescent="0.2">
      <c r="A19" s="2"/>
    </row>
    <row r="20" spans="1:10" ht="18" x14ac:dyDescent="0.2">
      <c r="A20" s="4"/>
    </row>
    <row r="21" spans="1:10" ht="18" x14ac:dyDescent="0.2">
      <c r="A21" s="2"/>
    </row>
    <row r="22" spans="1:10" ht="19" x14ac:dyDescent="0.25">
      <c r="A22" s="15" t="s">
        <v>8</v>
      </c>
      <c r="B22" s="16"/>
      <c r="I22" s="12" t="s">
        <v>7</v>
      </c>
      <c r="J22" s="12"/>
    </row>
    <row r="23" spans="1:10" ht="19" x14ac:dyDescent="0.25">
      <c r="A23" s="15" t="s">
        <v>9</v>
      </c>
      <c r="B23" s="16"/>
      <c r="I23" s="12" t="s">
        <v>58</v>
      </c>
      <c r="J23" s="12"/>
    </row>
    <row r="24" spans="1:10" ht="18" x14ac:dyDescent="0.2">
      <c r="I24" s="12"/>
      <c r="J24" s="12"/>
    </row>
    <row r="25" spans="1:10" ht="18" x14ac:dyDescent="0.2">
      <c r="A25" s="4"/>
      <c r="B25" s="4"/>
    </row>
    <row r="26" spans="1:10" ht="18" x14ac:dyDescent="0.2">
      <c r="A26" s="4"/>
      <c r="B26" s="4"/>
      <c r="C26" s="2"/>
    </row>
    <row r="27" spans="1:10" ht="18" x14ac:dyDescent="0.2">
      <c r="A27" s="2"/>
      <c r="B27" s="2"/>
      <c r="C27" s="2"/>
    </row>
    <row r="28" spans="1:10" ht="18" x14ac:dyDescent="0.2">
      <c r="A28" s="2"/>
      <c r="B28" s="2"/>
      <c r="C28" s="2"/>
    </row>
    <row r="29" spans="1:10" ht="18" x14ac:dyDescent="0.2">
      <c r="A29" s="2"/>
      <c r="B29" s="2"/>
      <c r="C29" s="2"/>
    </row>
    <row r="30" spans="1:10" ht="18" x14ac:dyDescent="0.2">
      <c r="A30" s="2"/>
      <c r="B30" s="2"/>
      <c r="C30" s="2"/>
    </row>
    <row r="31" spans="1:10" ht="18" x14ac:dyDescent="0.2">
      <c r="A31" s="5"/>
      <c r="B31" s="5"/>
      <c r="C31" s="5"/>
    </row>
    <row r="32" spans="1:10" ht="18" x14ac:dyDescent="0.2">
      <c r="A32" s="13" t="s">
        <v>10</v>
      </c>
      <c r="B32" s="13"/>
      <c r="C32" s="13"/>
      <c r="D32" s="13"/>
      <c r="E32" s="13"/>
      <c r="F32" s="13"/>
      <c r="G32" s="13"/>
      <c r="H32" s="13"/>
      <c r="I32" s="13"/>
      <c r="J32" s="13"/>
    </row>
  </sheetData>
  <mergeCells count="14">
    <mergeCell ref="A13:J13"/>
    <mergeCell ref="A1:J1"/>
    <mergeCell ref="A2:J2"/>
    <mergeCell ref="A3:J4"/>
    <mergeCell ref="A5:J5"/>
    <mergeCell ref="A6:J6"/>
    <mergeCell ref="I24:J24"/>
    <mergeCell ref="A32:J32"/>
    <mergeCell ref="A14:J14"/>
    <mergeCell ref="A15:J16"/>
    <mergeCell ref="I22:J22"/>
    <mergeCell ref="A22:B22"/>
    <mergeCell ref="I23:J23"/>
    <mergeCell ref="A23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5BA3-9DA0-4BAA-BA85-B2FEC1533A8C}">
  <dimension ref="A2:P60"/>
  <sheetViews>
    <sheetView tabSelected="1" zoomScale="78" workbookViewId="0">
      <selection activeCell="M31" sqref="M31"/>
    </sheetView>
  </sheetViews>
  <sheetFormatPr baseColWidth="10" defaultColWidth="8.83203125" defaultRowHeight="16" x14ac:dyDescent="0.2"/>
  <cols>
    <col min="1" max="16384" width="8.83203125" style="7"/>
  </cols>
  <sheetData>
    <row r="2" spans="7:14" x14ac:dyDescent="0.2">
      <c r="J2" s="28">
        <v>1</v>
      </c>
      <c r="K2" s="28"/>
    </row>
    <row r="3" spans="7:14" x14ac:dyDescent="0.2">
      <c r="J3" s="19" t="s">
        <v>13</v>
      </c>
      <c r="K3" s="19"/>
    </row>
    <row r="4" spans="7:14" x14ac:dyDescent="0.2">
      <c r="J4" s="19" t="s">
        <v>14</v>
      </c>
      <c r="K4" s="19"/>
    </row>
    <row r="5" spans="7:14" x14ac:dyDescent="0.2">
      <c r="J5" s="19" t="s">
        <v>16</v>
      </c>
      <c r="K5" s="19"/>
    </row>
    <row r="6" spans="7:14" x14ac:dyDescent="0.2">
      <c r="J6" s="6" t="s">
        <v>17</v>
      </c>
      <c r="K6" s="6" t="s">
        <v>18</v>
      </c>
    </row>
    <row r="7" spans="7:14" x14ac:dyDescent="0.2">
      <c r="J7" s="20" t="s">
        <v>28</v>
      </c>
      <c r="K7" s="20"/>
    </row>
    <row r="11" spans="7:14" x14ac:dyDescent="0.2">
      <c r="G11" s="28">
        <v>2</v>
      </c>
      <c r="H11" s="28"/>
      <c r="M11" s="28">
        <v>3</v>
      </c>
      <c r="N11" s="28"/>
    </row>
    <row r="12" spans="7:14" x14ac:dyDescent="0.2">
      <c r="G12" s="19" t="s">
        <v>13</v>
      </c>
      <c r="H12" s="19"/>
      <c r="M12" s="19" t="s">
        <v>13</v>
      </c>
      <c r="N12" s="19"/>
    </row>
    <row r="13" spans="7:14" x14ac:dyDescent="0.2">
      <c r="G13" s="19" t="s">
        <v>14</v>
      </c>
      <c r="H13" s="19"/>
      <c r="M13" s="19" t="s">
        <v>14</v>
      </c>
      <c r="N13" s="19"/>
    </row>
    <row r="14" spans="7:14" x14ac:dyDescent="0.2">
      <c r="G14" s="19" t="s">
        <v>36</v>
      </c>
      <c r="H14" s="19"/>
      <c r="M14" s="19" t="s">
        <v>37</v>
      </c>
      <c r="N14" s="19"/>
    </row>
    <row r="15" spans="7:14" x14ac:dyDescent="0.2">
      <c r="G15" s="19" t="s">
        <v>16</v>
      </c>
      <c r="H15" s="19"/>
      <c r="M15" s="19" t="s">
        <v>16</v>
      </c>
      <c r="N15" s="19"/>
    </row>
    <row r="16" spans="7:14" x14ac:dyDescent="0.2">
      <c r="G16" s="6" t="s">
        <v>38</v>
      </c>
      <c r="H16" s="6" t="s">
        <v>24</v>
      </c>
      <c r="M16" s="6" t="s">
        <v>26</v>
      </c>
      <c r="N16" s="6" t="s">
        <v>25</v>
      </c>
    </row>
    <row r="17" spans="4:16" x14ac:dyDescent="0.2">
      <c r="G17" s="20" t="s">
        <v>39</v>
      </c>
      <c r="H17" s="20"/>
      <c r="M17" s="20" t="s">
        <v>27</v>
      </c>
      <c r="N17" s="20"/>
    </row>
    <row r="20" spans="4:16" x14ac:dyDescent="0.2">
      <c r="E20" s="28">
        <v>4</v>
      </c>
      <c r="F20" s="28"/>
      <c r="I20" s="28">
        <v>5</v>
      </c>
      <c r="J20" s="28"/>
      <c r="L20" s="28">
        <v>6</v>
      </c>
      <c r="M20" s="28"/>
      <c r="O20" s="28">
        <v>7</v>
      </c>
      <c r="P20" s="28"/>
    </row>
    <row r="21" spans="4:16" x14ac:dyDescent="0.2">
      <c r="E21" s="19" t="s">
        <v>13</v>
      </c>
      <c r="F21" s="19"/>
      <c r="I21" s="19" t="s">
        <v>13</v>
      </c>
      <c r="J21" s="19"/>
      <c r="L21" s="19" t="s">
        <v>13</v>
      </c>
      <c r="M21" s="19"/>
      <c r="O21" s="19" t="s">
        <v>13</v>
      </c>
      <c r="P21" s="19"/>
    </row>
    <row r="22" spans="4:16" x14ac:dyDescent="0.2">
      <c r="E22" s="19" t="s">
        <v>14</v>
      </c>
      <c r="F22" s="19"/>
      <c r="I22" s="19" t="s">
        <v>14</v>
      </c>
      <c r="J22" s="19"/>
      <c r="L22" s="19" t="s">
        <v>14</v>
      </c>
      <c r="M22" s="19"/>
      <c r="O22" s="19" t="s">
        <v>14</v>
      </c>
      <c r="P22" s="19"/>
    </row>
    <row r="23" spans="4:16" x14ac:dyDescent="0.2">
      <c r="E23" s="19" t="s">
        <v>36</v>
      </c>
      <c r="F23" s="19"/>
      <c r="I23" s="19" t="s">
        <v>36</v>
      </c>
      <c r="J23" s="19"/>
      <c r="L23" s="19" t="s">
        <v>37</v>
      </c>
      <c r="M23" s="19"/>
      <c r="O23" s="19" t="s">
        <v>37</v>
      </c>
      <c r="P23" s="19"/>
    </row>
    <row r="24" spans="4:16" x14ac:dyDescent="0.2">
      <c r="E24" s="19" t="s">
        <v>15</v>
      </c>
      <c r="F24" s="19"/>
      <c r="I24" s="19" t="s">
        <v>53</v>
      </c>
      <c r="J24" s="19"/>
      <c r="L24" s="19" t="s">
        <v>54</v>
      </c>
      <c r="M24" s="19"/>
      <c r="O24" s="19" t="s">
        <v>55</v>
      </c>
      <c r="P24" s="19"/>
    </row>
    <row r="25" spans="4:16" x14ac:dyDescent="0.2">
      <c r="E25" s="19" t="s">
        <v>16</v>
      </c>
      <c r="F25" s="19"/>
      <c r="I25" s="19" t="s">
        <v>16</v>
      </c>
      <c r="J25" s="19"/>
      <c r="L25" s="19" t="s">
        <v>16</v>
      </c>
      <c r="M25" s="19"/>
      <c r="O25" s="19" t="s">
        <v>16</v>
      </c>
      <c r="P25" s="19"/>
    </row>
    <row r="26" spans="4:16" x14ac:dyDescent="0.2">
      <c r="D26" s="29" t="s">
        <v>0</v>
      </c>
      <c r="E26" s="6" t="s">
        <v>19</v>
      </c>
      <c r="F26" s="6" t="s">
        <v>24</v>
      </c>
      <c r="I26" s="6" t="s">
        <v>20</v>
      </c>
      <c r="J26" s="6" t="s">
        <v>21</v>
      </c>
      <c r="L26" s="6"/>
      <c r="M26" s="6"/>
      <c r="O26" s="6"/>
      <c r="P26" s="6"/>
    </row>
    <row r="27" spans="4:16" x14ac:dyDescent="0.2">
      <c r="D27" s="30"/>
      <c r="E27" s="20" t="s">
        <v>23</v>
      </c>
      <c r="F27" s="20"/>
      <c r="I27" s="20" t="s">
        <v>22</v>
      </c>
      <c r="J27" s="20"/>
      <c r="L27" s="20"/>
      <c r="M27" s="20"/>
      <c r="O27" s="20"/>
      <c r="P27" s="20"/>
    </row>
    <row r="30" spans="4:16" x14ac:dyDescent="0.2">
      <c r="G30" s="28">
        <v>8</v>
      </c>
      <c r="H30" s="28"/>
      <c r="K30" s="28">
        <v>9</v>
      </c>
      <c r="L30" s="28"/>
    </row>
    <row r="31" spans="4:16" x14ac:dyDescent="0.2">
      <c r="G31" s="19" t="s">
        <v>13</v>
      </c>
      <c r="H31" s="19"/>
      <c r="K31" s="19" t="s">
        <v>13</v>
      </c>
      <c r="L31" s="19"/>
    </row>
    <row r="32" spans="4:16" x14ac:dyDescent="0.2">
      <c r="G32" s="19" t="s">
        <v>14</v>
      </c>
      <c r="H32" s="19"/>
      <c r="K32" s="19" t="s">
        <v>14</v>
      </c>
      <c r="L32" s="19"/>
    </row>
    <row r="33" spans="5:12" x14ac:dyDescent="0.2">
      <c r="G33" s="19" t="s">
        <v>36</v>
      </c>
      <c r="H33" s="19"/>
      <c r="K33" s="19" t="s">
        <v>36</v>
      </c>
      <c r="L33" s="19"/>
    </row>
    <row r="34" spans="5:12" x14ac:dyDescent="0.2">
      <c r="G34" s="19" t="s">
        <v>40</v>
      </c>
      <c r="H34" s="19"/>
      <c r="K34" s="19" t="s">
        <v>40</v>
      </c>
      <c r="L34" s="19"/>
    </row>
    <row r="35" spans="5:12" x14ac:dyDescent="0.2">
      <c r="G35" s="19" t="s">
        <v>56</v>
      </c>
      <c r="H35" s="19"/>
      <c r="K35" s="19" t="s">
        <v>41</v>
      </c>
      <c r="L35" s="19"/>
    </row>
    <row r="36" spans="5:12" x14ac:dyDescent="0.2">
      <c r="G36" s="19" t="s">
        <v>16</v>
      </c>
      <c r="H36" s="19"/>
      <c r="K36" s="19" t="s">
        <v>16</v>
      </c>
      <c r="L36" s="19"/>
    </row>
    <row r="37" spans="5:12" x14ac:dyDescent="0.2">
      <c r="G37" s="6" t="s">
        <v>30</v>
      </c>
      <c r="H37" s="6" t="s">
        <v>29</v>
      </c>
      <c r="K37" s="24" t="s">
        <v>35</v>
      </c>
      <c r="L37" s="25"/>
    </row>
    <row r="38" spans="5:12" x14ac:dyDescent="0.2">
      <c r="G38" s="20" t="s">
        <v>31</v>
      </c>
      <c r="H38" s="20"/>
      <c r="K38" s="26"/>
      <c r="L38" s="27"/>
    </row>
    <row r="42" spans="5:12" x14ac:dyDescent="0.2">
      <c r="E42" s="28">
        <v>10</v>
      </c>
      <c r="F42" s="28"/>
      <c r="I42" s="28">
        <v>11</v>
      </c>
      <c r="J42" s="28"/>
    </row>
    <row r="43" spans="5:12" x14ac:dyDescent="0.2">
      <c r="E43" s="19" t="s">
        <v>13</v>
      </c>
      <c r="F43" s="19"/>
      <c r="I43" s="19" t="s">
        <v>13</v>
      </c>
      <c r="J43" s="19"/>
    </row>
    <row r="44" spans="5:12" x14ac:dyDescent="0.2">
      <c r="E44" s="19" t="s">
        <v>14</v>
      </c>
      <c r="F44" s="19"/>
      <c r="I44" s="19" t="s">
        <v>14</v>
      </c>
      <c r="J44" s="19"/>
    </row>
    <row r="45" spans="5:12" x14ac:dyDescent="0.2">
      <c r="E45" s="19" t="s">
        <v>36</v>
      </c>
      <c r="F45" s="19"/>
      <c r="I45" s="19" t="s">
        <v>36</v>
      </c>
      <c r="J45" s="19"/>
    </row>
    <row r="46" spans="5:12" x14ac:dyDescent="0.2">
      <c r="E46" s="19" t="s">
        <v>40</v>
      </c>
      <c r="F46" s="19"/>
      <c r="I46" s="19" t="s">
        <v>40</v>
      </c>
      <c r="J46" s="19"/>
    </row>
    <row r="47" spans="5:12" x14ac:dyDescent="0.2">
      <c r="E47" s="19" t="s">
        <v>56</v>
      </c>
      <c r="F47" s="19"/>
      <c r="I47" s="19" t="s">
        <v>56</v>
      </c>
      <c r="J47" s="19"/>
    </row>
    <row r="48" spans="5:12" x14ac:dyDescent="0.2">
      <c r="E48" s="19" t="s">
        <v>57</v>
      </c>
      <c r="F48" s="19"/>
      <c r="I48" s="19" t="s">
        <v>42</v>
      </c>
      <c r="J48" s="19"/>
    </row>
    <row r="49" spans="1:10" x14ac:dyDescent="0.2">
      <c r="E49" s="19" t="s">
        <v>16</v>
      </c>
      <c r="F49" s="19"/>
      <c r="I49" s="19" t="s">
        <v>16</v>
      </c>
      <c r="J49" s="19"/>
    </row>
    <row r="50" spans="1:10" x14ac:dyDescent="0.2">
      <c r="D50" s="22" t="s">
        <v>0</v>
      </c>
      <c r="E50" s="6" t="s">
        <v>20</v>
      </c>
      <c r="F50" s="6" t="s">
        <v>29</v>
      </c>
      <c r="I50" s="6" t="s">
        <v>32</v>
      </c>
      <c r="J50" s="6" t="s">
        <v>33</v>
      </c>
    </row>
    <row r="51" spans="1:10" x14ac:dyDescent="0.2">
      <c r="D51" s="23"/>
      <c r="E51" s="20" t="s">
        <v>34</v>
      </c>
      <c r="F51" s="20"/>
      <c r="I51" s="20" t="s">
        <v>34</v>
      </c>
      <c r="J51" s="20"/>
    </row>
    <row r="55" spans="1:10" x14ac:dyDescent="0.2">
      <c r="A55" s="21" t="s">
        <v>43</v>
      </c>
      <c r="B55" s="21"/>
      <c r="C55" s="21"/>
      <c r="D55" s="21"/>
      <c r="E55" s="21"/>
      <c r="F55" s="21"/>
      <c r="G55" s="21"/>
    </row>
    <row r="56" spans="1:10" x14ac:dyDescent="0.2">
      <c r="A56" s="18"/>
      <c r="B56" s="18"/>
      <c r="C56" s="8" t="s">
        <v>44</v>
      </c>
      <c r="D56" s="8" t="s">
        <v>45</v>
      </c>
      <c r="E56" s="9"/>
      <c r="F56" s="9"/>
      <c r="G56" s="9"/>
      <c r="J56" s="7" t="s">
        <v>52</v>
      </c>
    </row>
    <row r="57" spans="1:10" x14ac:dyDescent="0.2">
      <c r="A57" s="17" t="s">
        <v>46</v>
      </c>
      <c r="B57" s="17"/>
      <c r="C57" s="10">
        <v>13</v>
      </c>
      <c r="D57" s="10">
        <v>7</v>
      </c>
      <c r="E57" s="8"/>
      <c r="F57" s="8"/>
      <c r="G57" s="8"/>
    </row>
    <row r="58" spans="1:10" x14ac:dyDescent="0.2">
      <c r="A58" s="17" t="s">
        <v>47</v>
      </c>
      <c r="B58" s="17"/>
      <c r="C58" s="8">
        <v>45</v>
      </c>
      <c r="D58" s="8">
        <v>30</v>
      </c>
      <c r="E58" s="8">
        <f>SUMPRODUCT(C58:D58,C57:D57)</f>
        <v>795</v>
      </c>
      <c r="F58" s="11" t="s">
        <v>48</v>
      </c>
      <c r="G58" s="8" t="s">
        <v>49</v>
      </c>
    </row>
    <row r="59" spans="1:10" x14ac:dyDescent="0.2">
      <c r="A59" s="17" t="s">
        <v>50</v>
      </c>
      <c r="B59" s="17"/>
      <c r="C59" s="8">
        <v>4</v>
      </c>
      <c r="D59" s="8">
        <v>6</v>
      </c>
      <c r="E59" s="8">
        <f>SUMPRODUCT(C59:D59,C57:D57)</f>
        <v>94</v>
      </c>
      <c r="F59" s="8" t="s">
        <v>51</v>
      </c>
      <c r="G59" s="8">
        <v>100</v>
      </c>
    </row>
    <row r="60" spans="1:10" x14ac:dyDescent="0.2">
      <c r="A60" s="18"/>
      <c r="B60" s="18"/>
      <c r="C60" s="8">
        <v>7</v>
      </c>
      <c r="D60" s="8">
        <v>4</v>
      </c>
      <c r="E60" s="8">
        <f>SUMPRODUCT(C60:D60,C57:D57)</f>
        <v>119</v>
      </c>
      <c r="F60" s="8" t="s">
        <v>51</v>
      </c>
      <c r="G60" s="8">
        <v>120</v>
      </c>
    </row>
  </sheetData>
  <mergeCells count="87">
    <mergeCell ref="G11:H11"/>
    <mergeCell ref="J2:K2"/>
    <mergeCell ref="J3:K3"/>
    <mergeCell ref="J4:K4"/>
    <mergeCell ref="J5:K5"/>
    <mergeCell ref="J7:K7"/>
    <mergeCell ref="M11:N11"/>
    <mergeCell ref="M12:N12"/>
    <mergeCell ref="M13:N13"/>
    <mergeCell ref="M14:N14"/>
    <mergeCell ref="M15:N15"/>
    <mergeCell ref="G12:H12"/>
    <mergeCell ref="G13:H13"/>
    <mergeCell ref="G14:H14"/>
    <mergeCell ref="G15:H15"/>
    <mergeCell ref="G17:H17"/>
    <mergeCell ref="M17:N17"/>
    <mergeCell ref="E20:F20"/>
    <mergeCell ref="E21:F21"/>
    <mergeCell ref="E22:F22"/>
    <mergeCell ref="E23:F23"/>
    <mergeCell ref="I20:J20"/>
    <mergeCell ref="I21:J21"/>
    <mergeCell ref="I22:J22"/>
    <mergeCell ref="I23:J23"/>
    <mergeCell ref="O25:P25"/>
    <mergeCell ref="O27:P27"/>
    <mergeCell ref="D26:D27"/>
    <mergeCell ref="L20:M20"/>
    <mergeCell ref="L21:M21"/>
    <mergeCell ref="L22:M22"/>
    <mergeCell ref="L23:M23"/>
    <mergeCell ref="L24:M24"/>
    <mergeCell ref="L25:M25"/>
    <mergeCell ref="L27:M27"/>
    <mergeCell ref="E25:F25"/>
    <mergeCell ref="E27:F27"/>
    <mergeCell ref="I25:J25"/>
    <mergeCell ref="I27:J27"/>
    <mergeCell ref="E24:F24"/>
    <mergeCell ref="I24:J24"/>
    <mergeCell ref="O20:P20"/>
    <mergeCell ref="O21:P21"/>
    <mergeCell ref="O22:P22"/>
    <mergeCell ref="O23:P23"/>
    <mergeCell ref="O24:P24"/>
    <mergeCell ref="G30:H30"/>
    <mergeCell ref="G31:H31"/>
    <mergeCell ref="G32:H32"/>
    <mergeCell ref="G33:H33"/>
    <mergeCell ref="G34:H34"/>
    <mergeCell ref="K30:L30"/>
    <mergeCell ref="K31:L31"/>
    <mergeCell ref="K32:L32"/>
    <mergeCell ref="K33:L33"/>
    <mergeCell ref="K34:L34"/>
    <mergeCell ref="D50:D51"/>
    <mergeCell ref="K35:L35"/>
    <mergeCell ref="K37:L38"/>
    <mergeCell ref="E42:F42"/>
    <mergeCell ref="E43:F43"/>
    <mergeCell ref="K36:L36"/>
    <mergeCell ref="G35:H35"/>
    <mergeCell ref="E44:F44"/>
    <mergeCell ref="E45:F45"/>
    <mergeCell ref="I44:J44"/>
    <mergeCell ref="I45:J45"/>
    <mergeCell ref="G36:H36"/>
    <mergeCell ref="G38:H38"/>
    <mergeCell ref="I42:J42"/>
    <mergeCell ref="I43:J43"/>
    <mergeCell ref="A58:B58"/>
    <mergeCell ref="A59:B59"/>
    <mergeCell ref="A60:B60"/>
    <mergeCell ref="I46:J46"/>
    <mergeCell ref="I47:J47"/>
    <mergeCell ref="E49:F49"/>
    <mergeCell ref="E51:F51"/>
    <mergeCell ref="I49:J49"/>
    <mergeCell ref="I51:J51"/>
    <mergeCell ref="E48:F48"/>
    <mergeCell ref="I48:J48"/>
    <mergeCell ref="E46:F46"/>
    <mergeCell ref="E47:F47"/>
    <mergeCell ref="A55:G55"/>
    <mergeCell ref="A56:B56"/>
    <mergeCell ref="A57:B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Титульник</vt:lpstr>
      <vt:lpstr>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Dvorakovskiy</dc:creator>
  <cp:lastModifiedBy>Артем Харкевич</cp:lastModifiedBy>
  <dcterms:created xsi:type="dcterms:W3CDTF">2015-06-05T18:17:20Z</dcterms:created>
  <dcterms:modified xsi:type="dcterms:W3CDTF">2026-01-12T16:30:08Z</dcterms:modified>
</cp:coreProperties>
</file>