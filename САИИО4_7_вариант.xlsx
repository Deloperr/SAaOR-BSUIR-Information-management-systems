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hryae/Downloads/"/>
    </mc:Choice>
  </mc:AlternateContent>
  <xr:revisionPtr revIDLastSave="0" documentId="8_{B03F9F1D-DB13-C04C-8E59-2C027BE9AFBC}" xr6:coauthVersionLast="47" xr6:coauthVersionMax="47" xr10:uidLastSave="{00000000-0000-0000-0000-000000000000}"/>
  <bookViews>
    <workbookView xWindow="-36000" yWindow="0" windowWidth="36000" windowHeight="22500" activeTab="1" xr2:uid="{D8ACD1E8-4DBA-4A68-8CCE-C8A519F4A771}"/>
  </bookViews>
  <sheets>
    <sheet name="Титульник" sheetId="2" r:id="rId1"/>
    <sheet name="Лаба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45" i="1" l="1"/>
  <c r="L136" i="1"/>
  <c r="L127" i="1"/>
  <c r="B118" i="1"/>
  <c r="N98" i="1"/>
  <c r="N97" i="1"/>
  <c r="N96" i="1"/>
  <c r="N95" i="1"/>
  <c r="N94" i="1"/>
  <c r="N99" i="1"/>
  <c r="N100" i="1"/>
  <c r="N93" i="1"/>
  <c r="N82" i="1"/>
  <c r="N66" i="1"/>
  <c r="N73" i="1"/>
  <c r="D58" i="1"/>
</calcChain>
</file>

<file path=xl/sharedStrings.xml><?xml version="1.0" encoding="utf-8"?>
<sst xmlns="http://schemas.openxmlformats.org/spreadsheetml/2006/main" count="244" uniqueCount="121">
  <si>
    <t>Министерство образования Республики Беларусь</t>
  </si>
  <si>
    <t>Учреждение образования</t>
  </si>
  <si>
    <t>«Белорусский государственный университет информатики и радиоэлектроники»</t>
  </si>
  <si>
    <t>Факультет информационных технологий и управления</t>
  </si>
  <si>
    <t>Кафедра информационных технологий автоматизированных систем</t>
  </si>
  <si>
    <t>Проверил:</t>
  </si>
  <si>
    <t>Выполнил:</t>
  </si>
  <si>
    <t>Протченко Е.В.</t>
  </si>
  <si>
    <r>
      <t xml:space="preserve">Лабораторная работа </t>
    </r>
    <r>
      <rPr>
        <sz val="14"/>
        <color theme="1"/>
        <rFont val="Times New Roman"/>
        <family val="1"/>
        <charset val="204"/>
      </rPr>
      <t>№ 4</t>
    </r>
  </si>
  <si>
    <t>Минск 2025</t>
  </si>
  <si>
    <t>ПОСТАНОВКА И РЕШЕНИЕ ТРАНСПОРТНЫХ
ОПТИМИЗАЦИОННЫХ
МОЩНОСТЕЙ</t>
  </si>
  <si>
    <t>ЗАДАЧ ЛИНЕЙНОГО ПРОГРАММИРОВАНИЯ</t>
  </si>
  <si>
    <t>Предприятие поставщик</t>
  </si>
  <si>
    <t>Заказчик</t>
  </si>
  <si>
    <t>1. Матмодель</t>
  </si>
  <si>
    <t>xij&gt;=0</t>
  </si>
  <si>
    <t>x11+x21+x31=15</t>
  </si>
  <si>
    <t>x11+x12+x13+x14=60</t>
  </si>
  <si>
    <t>x21+x22+x23+x24=20</t>
  </si>
  <si>
    <t>x31+x32+x33+x34=20</t>
  </si>
  <si>
    <t>x12+x22+x32=25</t>
  </si>
  <si>
    <t>x13+x23+x33=27</t>
  </si>
  <si>
    <t>x14+x24+x34=33</t>
  </si>
  <si>
    <t>E=x11+4x12+x13+9x14+9x21+2x22+8x23+2x24+6x31+x32+7x33+3x34 -&gt; min</t>
  </si>
  <si>
    <t>2. Расчетная таблица</t>
  </si>
  <si>
    <t>3. Поиск допустимого решения</t>
  </si>
  <si>
    <t>Предприятие 1 - Заказчик 3</t>
  </si>
  <si>
    <t>произв.</t>
  </si>
  <si>
    <t>треб.</t>
  </si>
  <si>
    <t xml:space="preserve"> </t>
  </si>
  <si>
    <t>Заказчик 3 исключается</t>
  </si>
  <si>
    <t>Выбираем минимальный элемент x11</t>
  </si>
  <si>
    <t>Предприятие 3 - Заказчик 2</t>
  </si>
  <si>
    <t>Заказчик 2 исключается</t>
  </si>
  <si>
    <t>Предприятие 3 исключается</t>
  </si>
  <si>
    <t>Выбираем минимальный элемент x32</t>
  </si>
  <si>
    <t>Предприятие 1 - Заказчик 1</t>
  </si>
  <si>
    <t>Заказчик 1 исключается</t>
  </si>
  <si>
    <t>Предприятие 1 = 45</t>
  </si>
  <si>
    <t>Выбираем минимальный элемент х13</t>
  </si>
  <si>
    <t>Выбираем минимальный элемент х22</t>
  </si>
  <si>
    <t>Предприятие 1 = 18</t>
  </si>
  <si>
    <t>Предприятие 2 - Заказчик 2</t>
  </si>
  <si>
    <t>Предприятие 2 = 15</t>
  </si>
  <si>
    <t>Выбираем минимальный элемент х24</t>
  </si>
  <si>
    <t>Предприятие 2 - Заказчик 4</t>
  </si>
  <si>
    <t>Предприятие 2 исключается</t>
  </si>
  <si>
    <t>Заказчик 4 = 18</t>
  </si>
  <si>
    <t>У нас остаются запасы товара на предприятии 1, столько же надо и заказчику 4</t>
  </si>
  <si>
    <t xml:space="preserve">Итоговая таблица </t>
  </si>
  <si>
    <t>Заказчик 2 = 5</t>
  </si>
  <si>
    <t>Общие затраты на перевозки</t>
  </si>
  <si>
    <t>4. Поиск оптимального решения. Метод потенциалов</t>
  </si>
  <si>
    <t>u1+v1=1</t>
  </si>
  <si>
    <t>u1+v3=1</t>
  </si>
  <si>
    <t>u1+v4=9</t>
  </si>
  <si>
    <t>u2+v2=2</t>
  </si>
  <si>
    <t>u2+v4=2</t>
  </si>
  <si>
    <t>u3+v2=1</t>
  </si>
  <si>
    <t>Пусть u1=0</t>
  </si>
  <si>
    <t>v1=1</t>
  </si>
  <si>
    <t>v3=1</t>
  </si>
  <si>
    <t>v4=9</t>
  </si>
  <si>
    <t>u2=-7</t>
  </si>
  <si>
    <t>v2=9</t>
  </si>
  <si>
    <t>u3=-8</t>
  </si>
  <si>
    <t>u</t>
  </si>
  <si>
    <t>v</t>
  </si>
  <si>
    <r>
      <t xml:space="preserve">Дополнительные обозначения: </t>
    </r>
    <r>
      <rPr>
        <b/>
        <sz val="11"/>
        <color theme="1"/>
        <rFont val="Calibri"/>
        <family val="2"/>
        <charset val="204"/>
        <scheme val="minor"/>
      </rPr>
      <t>Жирное</t>
    </r>
    <r>
      <rPr>
        <sz val="11"/>
        <color theme="1"/>
        <rFont val="Calibri"/>
        <family val="2"/>
        <charset val="204"/>
        <scheme val="minor"/>
      </rPr>
      <t xml:space="preserve"> – базисные переменные;</t>
    </r>
    <r>
      <rPr>
        <sz val="11"/>
        <color rgb="FF00B050"/>
        <rFont val="Calibri"/>
        <family val="2"/>
        <charset val="204"/>
        <scheme val="minor"/>
      </rPr>
      <t xml:space="preserve"> Зеленое </t>
    </r>
    <r>
      <rPr>
        <sz val="11"/>
        <color theme="1"/>
        <rFont val="Calibri"/>
        <family val="2"/>
        <charset val="204"/>
        <scheme val="minor"/>
      </rPr>
      <t xml:space="preserve">– псевдостоимости; </t>
    </r>
    <r>
      <rPr>
        <sz val="11"/>
        <color rgb="FFFF0000"/>
        <rFont val="Calibri"/>
        <family val="2"/>
        <charset val="204"/>
        <scheme val="minor"/>
      </rPr>
      <t>Красное</t>
    </r>
    <r>
      <rPr>
        <sz val="11"/>
        <color theme="1"/>
        <rFont val="Calibri"/>
        <family val="2"/>
        <charset val="204"/>
        <scheme val="minor"/>
      </rPr>
      <t xml:space="preserve"> – разности стоимостей и псевдостомостей; </t>
    </r>
    <r>
      <rPr>
        <sz val="11"/>
        <color theme="7" tint="0.39997558519241921"/>
        <rFont val="Calibri"/>
        <family val="2"/>
        <charset val="204"/>
        <scheme val="minor"/>
      </rPr>
      <t>Желтый</t>
    </r>
    <r>
      <rPr>
        <sz val="11"/>
        <color theme="1"/>
        <rFont val="Calibri"/>
        <family val="2"/>
        <charset val="204"/>
        <scheme val="minor"/>
      </rPr>
      <t xml:space="preserve"> – xrs</t>
    </r>
  </si>
  <si>
    <t>Включаем переменную Х12 в базис</t>
  </si>
  <si>
    <t>Исключаем из базиса Х22(минимальное значение со знаком -).Перевозки из предприятия 2 для заказчика 2 прекращаются</t>
  </si>
  <si>
    <t>u1+v2=4</t>
  </si>
  <si>
    <t>Включаем переменную Х34 в базис</t>
  </si>
  <si>
    <t>Исключаем из базиса Х22(минимальное значение со знаком -).Перевозки из предприятия 3 для заказчика 4 прекращаются</t>
  </si>
  <si>
    <t>Е</t>
  </si>
  <si>
    <t>v2=4</t>
  </si>
  <si>
    <t>v4=6</t>
  </si>
  <si>
    <t>u2=-4</t>
  </si>
  <si>
    <t>u3=-3</t>
  </si>
  <si>
    <t>u3+v4=3</t>
  </si>
  <si>
    <t xml:space="preserve">План оптимален, тк все  разности стоимостей и псевдостоимостей &gt;= 0 </t>
  </si>
  <si>
    <t>5. Проверка в Excel</t>
  </si>
  <si>
    <t>x11</t>
  </si>
  <si>
    <t>x12</t>
  </si>
  <si>
    <t>x13</t>
  </si>
  <si>
    <t>x14</t>
  </si>
  <si>
    <t>x21</t>
  </si>
  <si>
    <t>x22</t>
  </si>
  <si>
    <t>x23</t>
  </si>
  <si>
    <t>x24</t>
  </si>
  <si>
    <t>x31</t>
  </si>
  <si>
    <t>x32</t>
  </si>
  <si>
    <t>x33</t>
  </si>
  <si>
    <t>x34</t>
  </si>
  <si>
    <t>ограничения</t>
  </si>
  <si>
    <t>Решение</t>
  </si>
  <si>
    <t>Целевая функция</t>
  </si>
  <si>
    <t>-&gt;</t>
  </si>
  <si>
    <t>min</t>
  </si>
  <si>
    <t>Ограничения</t>
  </si>
  <si>
    <t>=</t>
  </si>
  <si>
    <t>6. Неправильный баланс</t>
  </si>
  <si>
    <t>Заказчик 5 исключается</t>
  </si>
  <si>
    <t>Таблица допустимого плана перевозок</t>
  </si>
  <si>
    <t>Выбираем минимальный элемент х11</t>
  </si>
  <si>
    <t>Выбираем минимальный элемент x15</t>
  </si>
  <si>
    <t>Предприятие 1 - Заказчик 5</t>
  </si>
  <si>
    <t>Предприятие 1 = 50</t>
  </si>
  <si>
    <t>Предприятие 1 =35</t>
  </si>
  <si>
    <t>Предприятие 1 = 8</t>
  </si>
  <si>
    <t>Выбираем минимальный элемент х32</t>
  </si>
  <si>
    <t>Заказчик 2= 5</t>
  </si>
  <si>
    <t>Предприятие 2 = 25</t>
  </si>
  <si>
    <t>Заказчик 4 = 8</t>
  </si>
  <si>
    <t>u1+v5=0</t>
  </si>
  <si>
    <t>v5=0</t>
  </si>
  <si>
    <t>E</t>
  </si>
  <si>
    <t>Исключаем из базиса Х14(минимальное значение со знаком -).Перевозки из предприятия 1 для заказчика 4 прекращаются</t>
  </si>
  <si>
    <t>Итоговая таблица оптимального плана перевозок</t>
  </si>
  <si>
    <t>Поставки для фиктивного заказчика, вошедшие в оптимальный базис, означают, что соответствующими поставщиками будет поставлено меньше товара, чем у них производится. Таким образом, поставщиком П1 будет поставлено на 10 тыс. изделий меньше, чем у него производится (т.е. всего 50 тыс. вместо 60 тыс. производимых)</t>
  </si>
  <si>
    <t>ст. гр. 320xxx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</si>
</sst>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B050"/>
      <name val="Calibri"/>
      <family val="2"/>
      <charset val="204"/>
      <scheme val="minor"/>
    </font>
    <font>
      <sz val="11"/>
      <color theme="7" tint="0.3999755851924192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0"/>
      <color rgb="FF0F1115"/>
      <name val="Segoe U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 tint="4.9989318521683403E-2"/>
      </left>
      <right/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/>
      <top/>
      <bottom/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4.9989318521683403E-2"/>
      </left>
      <right style="thin">
        <color theme="1" tint="4.9989318521683403E-2"/>
      </right>
      <top/>
      <bottom style="thin">
        <color theme="1" tint="4.9989318521683403E-2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justify" vertical="center"/>
    </xf>
    <xf numFmtId="0" fontId="0" fillId="0" borderId="1" xfId="0" applyBorder="1"/>
    <xf numFmtId="0" fontId="0" fillId="0" borderId="7" xfId="0" applyBorder="1"/>
    <xf numFmtId="0" fontId="0" fillId="0" borderId="3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4" xfId="0" applyBorder="1"/>
    <xf numFmtId="0" fontId="0" fillId="0" borderId="16" xfId="0" applyBorder="1"/>
    <xf numFmtId="0" fontId="0" fillId="0" borderId="2" xfId="0" applyBorder="1"/>
    <xf numFmtId="0" fontId="0" fillId="2" borderId="6" xfId="0" applyFill="1" applyBorder="1"/>
    <xf numFmtId="0" fontId="0" fillId="2" borderId="0" xfId="0" applyFill="1"/>
    <xf numFmtId="0" fontId="0" fillId="3" borderId="0" xfId="0" applyFill="1"/>
    <xf numFmtId="0" fontId="0" fillId="0" borderId="0" xfId="0" quotePrefix="1"/>
    <xf numFmtId="0" fontId="0" fillId="0" borderId="17" xfId="0" applyBorder="1"/>
    <xf numFmtId="0" fontId="0" fillId="4" borderId="0" xfId="0" applyFill="1"/>
    <xf numFmtId="0" fontId="0" fillId="5" borderId="1" xfId="0" applyFill="1" applyBorder="1"/>
    <xf numFmtId="0" fontId="0" fillId="3" borderId="1" xfId="0" applyFill="1" applyBorder="1"/>
    <xf numFmtId="0" fontId="9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 wrapText="1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7</xdr:col>
      <xdr:colOff>342899</xdr:colOff>
      <xdr:row>14</xdr:row>
      <xdr:rowOff>53341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0249C91-8FFC-3C8E-F786-578763441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196839" cy="2613660"/>
        </a:xfrm>
        <a:prstGeom prst="rect">
          <a:avLst/>
        </a:prstGeom>
      </xdr:spPr>
    </xdr:pic>
    <xdr:clientData/>
  </xdr:twoCellAnchor>
  <xdr:twoCellAnchor editAs="oneCell">
    <xdr:from>
      <xdr:col>8</xdr:col>
      <xdr:colOff>30480</xdr:colOff>
      <xdr:row>0</xdr:row>
      <xdr:rowOff>0</xdr:rowOff>
    </xdr:from>
    <xdr:to>
      <xdr:col>13</xdr:col>
      <xdr:colOff>1851660</xdr:colOff>
      <xdr:row>15</xdr:row>
      <xdr:rowOff>175260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68F490F-DFCA-0D32-2049-337F051AC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89220" y="0"/>
          <a:ext cx="4869180" cy="2918460"/>
        </a:xfrm>
        <a:prstGeom prst="rect">
          <a:avLst/>
        </a:prstGeom>
      </xdr:spPr>
    </xdr:pic>
    <xdr:clientData/>
  </xdr:twoCellAnchor>
  <xdr:twoCellAnchor>
    <xdr:from>
      <xdr:col>0</xdr:col>
      <xdr:colOff>845820</xdr:colOff>
      <xdr:row>43</xdr:row>
      <xdr:rowOff>99060</xdr:rowOff>
    </xdr:from>
    <xdr:to>
      <xdr:col>6</xdr:col>
      <xdr:colOff>0</xdr:colOff>
      <xdr:row>43</xdr:row>
      <xdr:rowOff>114300</xdr:rowOff>
    </xdr:to>
    <xdr:cxnSp macro="">
      <xdr:nvCxnSpPr>
        <xdr:cNvPr id="4" name="Прямая соединительная линия 3">
          <a:extLst>
            <a:ext uri="{FF2B5EF4-FFF2-40B4-BE49-F238E27FC236}">
              <a16:creationId xmlns:a16="http://schemas.microsoft.com/office/drawing/2014/main" id="{E2C8F600-E4CC-4E5A-B712-43EFFA2A0AE9}"/>
            </a:ext>
          </a:extLst>
        </xdr:cNvPr>
        <xdr:cNvCxnSpPr/>
      </xdr:nvCxnSpPr>
      <xdr:spPr>
        <a:xfrm flipH="1" flipV="1">
          <a:off x="845820" y="7978140"/>
          <a:ext cx="3093720" cy="15240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320040</xdr:colOff>
      <xdr:row>36</xdr:row>
      <xdr:rowOff>83820</xdr:rowOff>
    </xdr:from>
    <xdr:to>
      <xdr:col>11</xdr:col>
      <xdr:colOff>330772</xdr:colOff>
      <xdr:row>41</xdr:row>
      <xdr:rowOff>119553</xdr:rowOff>
    </xdr:to>
    <xdr:cxnSp macro="">
      <xdr:nvCxnSpPr>
        <xdr:cNvPr id="5" name="Прямая соединительная линия 4">
          <a:extLst>
            <a:ext uri="{FF2B5EF4-FFF2-40B4-BE49-F238E27FC236}">
              <a16:creationId xmlns:a16="http://schemas.microsoft.com/office/drawing/2014/main" id="{C72456E8-8C5D-4F47-8AFE-9433D7388688}"/>
            </a:ext>
          </a:extLst>
        </xdr:cNvPr>
        <xdr:cNvCxnSpPr/>
      </xdr:nvCxnSpPr>
      <xdr:spPr>
        <a:xfrm>
          <a:off x="7307580" y="6682740"/>
          <a:ext cx="10732" cy="950133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60960</xdr:colOff>
      <xdr:row>35</xdr:row>
      <xdr:rowOff>160020</xdr:rowOff>
    </xdr:from>
    <xdr:ext cx="365760" cy="233205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24CC4B9-88D0-F751-1130-9382780839B2}"/>
            </a:ext>
          </a:extLst>
        </xdr:cNvPr>
        <xdr:cNvSpPr txBox="1"/>
      </xdr:nvSpPr>
      <xdr:spPr>
        <a:xfrm>
          <a:off x="7658100" y="6576060"/>
          <a:ext cx="36576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900"/>
            <a:t>27</a:t>
          </a:r>
          <a:endParaRPr lang="ru-BY" sz="1100"/>
        </a:p>
      </xdr:txBody>
    </xdr:sp>
    <xdr:clientData/>
  </xdr:oneCellAnchor>
  <xdr:twoCellAnchor>
    <xdr:from>
      <xdr:col>3</xdr:col>
      <xdr:colOff>434340</xdr:colOff>
      <xdr:row>44</xdr:row>
      <xdr:rowOff>91440</xdr:rowOff>
    </xdr:from>
    <xdr:to>
      <xdr:col>3</xdr:col>
      <xdr:colOff>601980</xdr:colOff>
      <xdr:row>44</xdr:row>
      <xdr:rowOff>99060</xdr:rowOff>
    </xdr:to>
    <xdr:cxnSp macro="">
      <xdr:nvCxnSpPr>
        <xdr:cNvPr id="13" name="Прямая соединительная линия 12">
          <a:extLst>
            <a:ext uri="{FF2B5EF4-FFF2-40B4-BE49-F238E27FC236}">
              <a16:creationId xmlns:a16="http://schemas.microsoft.com/office/drawing/2014/main" id="{55478D55-9599-2C84-62A1-828796C69E53}"/>
            </a:ext>
          </a:extLst>
        </xdr:cNvPr>
        <xdr:cNvCxnSpPr/>
      </xdr:nvCxnSpPr>
      <xdr:spPr>
        <a:xfrm>
          <a:off x="2545080" y="8153400"/>
          <a:ext cx="167640" cy="762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419100</xdr:colOff>
      <xdr:row>43</xdr:row>
      <xdr:rowOff>91440</xdr:rowOff>
    </xdr:from>
    <xdr:to>
      <xdr:col>6</xdr:col>
      <xdr:colOff>601980</xdr:colOff>
      <xdr:row>43</xdr:row>
      <xdr:rowOff>106680</xdr:rowOff>
    </xdr:to>
    <xdr:cxnSp macro="">
      <xdr:nvCxnSpPr>
        <xdr:cNvPr id="15" name="Прямая соединительная линия 14">
          <a:extLst>
            <a:ext uri="{FF2B5EF4-FFF2-40B4-BE49-F238E27FC236}">
              <a16:creationId xmlns:a16="http://schemas.microsoft.com/office/drawing/2014/main" id="{16D64831-A0DC-8AC7-870C-5021C9B1651D}"/>
            </a:ext>
          </a:extLst>
        </xdr:cNvPr>
        <xdr:cNvCxnSpPr/>
      </xdr:nvCxnSpPr>
      <xdr:spPr>
        <a:xfrm flipV="1">
          <a:off x="4358640" y="7970520"/>
          <a:ext cx="182880" cy="152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</xdr:col>
      <xdr:colOff>586740</xdr:colOff>
      <xdr:row>43</xdr:row>
      <xdr:rowOff>22860</xdr:rowOff>
    </xdr:from>
    <xdr:ext cx="365760" cy="233205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58238054-C47D-47DE-AE70-FF39A8E2F2E0}"/>
            </a:ext>
          </a:extLst>
        </xdr:cNvPr>
        <xdr:cNvSpPr txBox="1"/>
      </xdr:nvSpPr>
      <xdr:spPr>
        <a:xfrm>
          <a:off x="2087880" y="7901940"/>
          <a:ext cx="36576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900"/>
            <a:t>20</a:t>
          </a:r>
          <a:endParaRPr lang="ru-BY" sz="1100"/>
        </a:p>
      </xdr:txBody>
    </xdr:sp>
    <xdr:clientData/>
  </xdr:oneCellAnchor>
  <xdr:twoCellAnchor>
    <xdr:from>
      <xdr:col>6</xdr:col>
      <xdr:colOff>426720</xdr:colOff>
      <xdr:row>41</xdr:row>
      <xdr:rowOff>99060</xdr:rowOff>
    </xdr:from>
    <xdr:to>
      <xdr:col>7</xdr:col>
      <xdr:colOff>7620</xdr:colOff>
      <xdr:row>41</xdr:row>
      <xdr:rowOff>106680</xdr:rowOff>
    </xdr:to>
    <xdr:cxnSp macro="">
      <xdr:nvCxnSpPr>
        <xdr:cNvPr id="31" name="Прямая соединительная линия 30">
          <a:extLst>
            <a:ext uri="{FF2B5EF4-FFF2-40B4-BE49-F238E27FC236}">
              <a16:creationId xmlns:a16="http://schemas.microsoft.com/office/drawing/2014/main" id="{E29AB893-416F-4B14-BA20-E9A79744A871}"/>
            </a:ext>
          </a:extLst>
        </xdr:cNvPr>
        <xdr:cNvCxnSpPr/>
      </xdr:nvCxnSpPr>
      <xdr:spPr>
        <a:xfrm flipV="1">
          <a:off x="4366260" y="7612380"/>
          <a:ext cx="190500" cy="762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449580</xdr:colOff>
      <xdr:row>44</xdr:row>
      <xdr:rowOff>99060</xdr:rowOff>
    </xdr:from>
    <xdr:to>
      <xdr:col>2</xdr:col>
      <xdr:colOff>594360</xdr:colOff>
      <xdr:row>44</xdr:row>
      <xdr:rowOff>114300</xdr:rowOff>
    </xdr:to>
    <xdr:cxnSp macro="">
      <xdr:nvCxnSpPr>
        <xdr:cNvPr id="35" name="Прямая соединительная линия 34">
          <a:extLst>
            <a:ext uri="{FF2B5EF4-FFF2-40B4-BE49-F238E27FC236}">
              <a16:creationId xmlns:a16="http://schemas.microsoft.com/office/drawing/2014/main" id="{B20FF254-6CB0-41CE-ABAE-0DE9C03B5232}"/>
            </a:ext>
          </a:extLst>
        </xdr:cNvPr>
        <xdr:cNvCxnSpPr/>
      </xdr:nvCxnSpPr>
      <xdr:spPr>
        <a:xfrm>
          <a:off x="1950720" y="8161020"/>
          <a:ext cx="144780" cy="152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335280</xdr:colOff>
      <xdr:row>37</xdr:row>
      <xdr:rowOff>167640</xdr:rowOff>
    </xdr:from>
    <xdr:to>
      <xdr:col>2</xdr:col>
      <xdr:colOff>335280</xdr:colOff>
      <xdr:row>45</xdr:row>
      <xdr:rowOff>15240</xdr:rowOff>
    </xdr:to>
    <xdr:cxnSp macro="">
      <xdr:nvCxnSpPr>
        <xdr:cNvPr id="38" name="Прямая соединительная линия 37">
          <a:extLst>
            <a:ext uri="{FF2B5EF4-FFF2-40B4-BE49-F238E27FC236}">
              <a16:creationId xmlns:a16="http://schemas.microsoft.com/office/drawing/2014/main" id="{A377404B-790A-4AE6-B2B4-1465DCF4AC67}"/>
            </a:ext>
          </a:extLst>
        </xdr:cNvPr>
        <xdr:cNvCxnSpPr/>
      </xdr:nvCxnSpPr>
      <xdr:spPr>
        <a:xfrm>
          <a:off x="1836420" y="6949440"/>
          <a:ext cx="0" cy="1310640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</xdr:col>
      <xdr:colOff>7620</xdr:colOff>
      <xdr:row>41</xdr:row>
      <xdr:rowOff>0</xdr:rowOff>
    </xdr:from>
    <xdr:ext cx="365760" cy="233205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87CB199A-DA06-472D-9E10-2B3DC6BB3459}"/>
            </a:ext>
          </a:extLst>
        </xdr:cNvPr>
        <xdr:cNvSpPr txBox="1"/>
      </xdr:nvSpPr>
      <xdr:spPr>
        <a:xfrm>
          <a:off x="1508760" y="7513320"/>
          <a:ext cx="36576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900"/>
            <a:t>15</a:t>
          </a:r>
          <a:endParaRPr lang="ru-BY" sz="1100"/>
        </a:p>
      </xdr:txBody>
    </xdr:sp>
    <xdr:clientData/>
  </xdr:oneCellAnchor>
  <xdr:twoCellAnchor>
    <xdr:from>
      <xdr:col>4</xdr:col>
      <xdr:colOff>441960</xdr:colOff>
      <xdr:row>44</xdr:row>
      <xdr:rowOff>106680</xdr:rowOff>
    </xdr:from>
    <xdr:to>
      <xdr:col>5</xdr:col>
      <xdr:colOff>7620</xdr:colOff>
      <xdr:row>44</xdr:row>
      <xdr:rowOff>106680</xdr:rowOff>
    </xdr:to>
    <xdr:cxnSp macro="">
      <xdr:nvCxnSpPr>
        <xdr:cNvPr id="45" name="Прямая соединительная линия 44">
          <a:extLst>
            <a:ext uri="{FF2B5EF4-FFF2-40B4-BE49-F238E27FC236}">
              <a16:creationId xmlns:a16="http://schemas.microsoft.com/office/drawing/2014/main" id="{9FBCC795-965D-4312-AA8A-E6D3E2502A9A}"/>
            </a:ext>
          </a:extLst>
        </xdr:cNvPr>
        <xdr:cNvCxnSpPr/>
      </xdr:nvCxnSpPr>
      <xdr:spPr>
        <a:xfrm>
          <a:off x="3162300" y="8168640"/>
          <a:ext cx="1752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4</xdr:col>
      <xdr:colOff>22860</xdr:colOff>
      <xdr:row>41</xdr:row>
      <xdr:rowOff>15240</xdr:rowOff>
    </xdr:from>
    <xdr:ext cx="365760" cy="233205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AAF69B6B-8BCA-4C48-A50C-06D8EE781004}"/>
            </a:ext>
          </a:extLst>
        </xdr:cNvPr>
        <xdr:cNvSpPr txBox="1"/>
      </xdr:nvSpPr>
      <xdr:spPr>
        <a:xfrm>
          <a:off x="2743200" y="7528560"/>
          <a:ext cx="36576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900"/>
            <a:t>27</a:t>
          </a:r>
          <a:endParaRPr lang="ru-BY" sz="1100"/>
        </a:p>
      </xdr:txBody>
    </xdr:sp>
    <xdr:clientData/>
  </xdr:oneCellAnchor>
  <xdr:twoCellAnchor>
    <xdr:from>
      <xdr:col>4</xdr:col>
      <xdr:colOff>350520</xdr:colOff>
      <xdr:row>38</xdr:row>
      <xdr:rowOff>7620</xdr:rowOff>
    </xdr:from>
    <xdr:to>
      <xdr:col>4</xdr:col>
      <xdr:colOff>350520</xdr:colOff>
      <xdr:row>44</xdr:row>
      <xdr:rowOff>175260</xdr:rowOff>
    </xdr:to>
    <xdr:cxnSp macro="">
      <xdr:nvCxnSpPr>
        <xdr:cNvPr id="49" name="Прямая соединительная линия 48">
          <a:extLst>
            <a:ext uri="{FF2B5EF4-FFF2-40B4-BE49-F238E27FC236}">
              <a16:creationId xmlns:a16="http://schemas.microsoft.com/office/drawing/2014/main" id="{4EC9B600-3133-453B-BDB3-36AA70FE94F2}"/>
            </a:ext>
          </a:extLst>
        </xdr:cNvPr>
        <xdr:cNvCxnSpPr/>
      </xdr:nvCxnSpPr>
      <xdr:spPr>
        <a:xfrm>
          <a:off x="3070860" y="6972300"/>
          <a:ext cx="0" cy="1264920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441960</xdr:colOff>
      <xdr:row>41</xdr:row>
      <xdr:rowOff>114300</xdr:rowOff>
    </xdr:from>
    <xdr:to>
      <xdr:col>7</xdr:col>
      <xdr:colOff>594360</xdr:colOff>
      <xdr:row>41</xdr:row>
      <xdr:rowOff>114300</xdr:rowOff>
    </xdr:to>
    <xdr:cxnSp macro="">
      <xdr:nvCxnSpPr>
        <xdr:cNvPr id="52" name="Прямая соединительная линия 51">
          <a:extLst>
            <a:ext uri="{FF2B5EF4-FFF2-40B4-BE49-F238E27FC236}">
              <a16:creationId xmlns:a16="http://schemas.microsoft.com/office/drawing/2014/main" id="{4FACAB58-6A5F-47A9-9C3B-FEDE76B673DA}"/>
            </a:ext>
          </a:extLst>
        </xdr:cNvPr>
        <xdr:cNvCxnSpPr/>
      </xdr:nvCxnSpPr>
      <xdr:spPr>
        <a:xfrm flipH="1">
          <a:off x="4991100" y="7627620"/>
          <a:ext cx="152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487680</xdr:colOff>
      <xdr:row>45</xdr:row>
      <xdr:rowOff>99060</xdr:rowOff>
    </xdr:from>
    <xdr:to>
      <xdr:col>3</xdr:col>
      <xdr:colOff>594360</xdr:colOff>
      <xdr:row>45</xdr:row>
      <xdr:rowOff>114300</xdr:rowOff>
    </xdr:to>
    <xdr:cxnSp macro="">
      <xdr:nvCxnSpPr>
        <xdr:cNvPr id="55" name="Прямая соединительная линия 54">
          <a:extLst>
            <a:ext uri="{FF2B5EF4-FFF2-40B4-BE49-F238E27FC236}">
              <a16:creationId xmlns:a16="http://schemas.microsoft.com/office/drawing/2014/main" id="{BD3135F9-C453-4F08-9858-6AE5E54FCADD}"/>
            </a:ext>
          </a:extLst>
        </xdr:cNvPr>
        <xdr:cNvCxnSpPr/>
      </xdr:nvCxnSpPr>
      <xdr:spPr>
        <a:xfrm flipV="1">
          <a:off x="2598420" y="8343900"/>
          <a:ext cx="106680" cy="152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449580</xdr:colOff>
      <xdr:row>42</xdr:row>
      <xdr:rowOff>83820</xdr:rowOff>
    </xdr:from>
    <xdr:to>
      <xdr:col>6</xdr:col>
      <xdr:colOff>601980</xdr:colOff>
      <xdr:row>42</xdr:row>
      <xdr:rowOff>91440</xdr:rowOff>
    </xdr:to>
    <xdr:cxnSp macro="">
      <xdr:nvCxnSpPr>
        <xdr:cNvPr id="58" name="Прямая соединительная линия 57">
          <a:extLst>
            <a:ext uri="{FF2B5EF4-FFF2-40B4-BE49-F238E27FC236}">
              <a16:creationId xmlns:a16="http://schemas.microsoft.com/office/drawing/2014/main" id="{38493E33-1A61-4280-ABF9-71032D8B0BE4}"/>
            </a:ext>
          </a:extLst>
        </xdr:cNvPr>
        <xdr:cNvCxnSpPr/>
      </xdr:nvCxnSpPr>
      <xdr:spPr>
        <a:xfrm flipV="1">
          <a:off x="4389120" y="7780020"/>
          <a:ext cx="152400" cy="762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327660</xdr:colOff>
      <xdr:row>38</xdr:row>
      <xdr:rowOff>15240</xdr:rowOff>
    </xdr:from>
    <xdr:to>
      <xdr:col>3</xdr:col>
      <xdr:colOff>327660</xdr:colOff>
      <xdr:row>45</xdr:row>
      <xdr:rowOff>0</xdr:rowOff>
    </xdr:to>
    <xdr:cxnSp macro="">
      <xdr:nvCxnSpPr>
        <xdr:cNvPr id="67" name="Прямая соединительная линия 66">
          <a:extLst>
            <a:ext uri="{FF2B5EF4-FFF2-40B4-BE49-F238E27FC236}">
              <a16:creationId xmlns:a16="http://schemas.microsoft.com/office/drawing/2014/main" id="{2613D33C-7F4A-4FF2-BBCE-0D1FCD22FB78}"/>
            </a:ext>
          </a:extLst>
        </xdr:cNvPr>
        <xdr:cNvCxnSpPr/>
      </xdr:nvCxnSpPr>
      <xdr:spPr>
        <a:xfrm>
          <a:off x="2438400" y="6979920"/>
          <a:ext cx="0" cy="1264920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</xdr:col>
      <xdr:colOff>38100</xdr:colOff>
      <xdr:row>41</xdr:row>
      <xdr:rowOff>175260</xdr:rowOff>
    </xdr:from>
    <xdr:ext cx="365760" cy="233205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EAABE51B-7A0A-42A1-B4F6-74C9D9A404CD}"/>
            </a:ext>
          </a:extLst>
        </xdr:cNvPr>
        <xdr:cNvSpPr txBox="1"/>
      </xdr:nvSpPr>
      <xdr:spPr>
        <a:xfrm>
          <a:off x="2148840" y="7688580"/>
          <a:ext cx="36576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900"/>
            <a:t>5</a:t>
          </a:r>
          <a:endParaRPr lang="ru-BY" sz="1100"/>
        </a:p>
      </xdr:txBody>
    </xdr:sp>
    <xdr:clientData/>
  </xdr:oneCellAnchor>
  <xdr:twoCellAnchor>
    <xdr:from>
      <xdr:col>7</xdr:col>
      <xdr:colOff>434340</xdr:colOff>
      <xdr:row>42</xdr:row>
      <xdr:rowOff>91440</xdr:rowOff>
    </xdr:from>
    <xdr:to>
      <xdr:col>7</xdr:col>
      <xdr:colOff>586740</xdr:colOff>
      <xdr:row>42</xdr:row>
      <xdr:rowOff>106680</xdr:rowOff>
    </xdr:to>
    <xdr:cxnSp macro="">
      <xdr:nvCxnSpPr>
        <xdr:cNvPr id="69" name="Прямая соединительная линия 68">
          <a:extLst>
            <a:ext uri="{FF2B5EF4-FFF2-40B4-BE49-F238E27FC236}">
              <a16:creationId xmlns:a16="http://schemas.microsoft.com/office/drawing/2014/main" id="{A597A9A6-BA50-4CEA-89B2-C0C8FA26F6B6}"/>
            </a:ext>
          </a:extLst>
        </xdr:cNvPr>
        <xdr:cNvCxnSpPr/>
      </xdr:nvCxnSpPr>
      <xdr:spPr>
        <a:xfrm flipV="1">
          <a:off x="4983480" y="7787640"/>
          <a:ext cx="152400" cy="152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426720</xdr:colOff>
      <xdr:row>44</xdr:row>
      <xdr:rowOff>99060</xdr:rowOff>
    </xdr:from>
    <xdr:to>
      <xdr:col>5</xdr:col>
      <xdr:colOff>594360</xdr:colOff>
      <xdr:row>44</xdr:row>
      <xdr:rowOff>121920</xdr:rowOff>
    </xdr:to>
    <xdr:cxnSp macro="">
      <xdr:nvCxnSpPr>
        <xdr:cNvPr id="72" name="Прямая соединительная линия 71">
          <a:extLst>
            <a:ext uri="{FF2B5EF4-FFF2-40B4-BE49-F238E27FC236}">
              <a16:creationId xmlns:a16="http://schemas.microsoft.com/office/drawing/2014/main" id="{C12104B5-7428-4F46-9A72-37F8E0CE6419}"/>
            </a:ext>
          </a:extLst>
        </xdr:cNvPr>
        <xdr:cNvCxnSpPr/>
      </xdr:nvCxnSpPr>
      <xdr:spPr>
        <a:xfrm>
          <a:off x="3756660" y="8161020"/>
          <a:ext cx="167640" cy="228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22860</xdr:colOff>
      <xdr:row>42</xdr:row>
      <xdr:rowOff>83820</xdr:rowOff>
    </xdr:from>
    <xdr:to>
      <xdr:col>6</xdr:col>
      <xdr:colOff>7620</xdr:colOff>
      <xdr:row>42</xdr:row>
      <xdr:rowOff>91440</xdr:rowOff>
    </xdr:to>
    <xdr:cxnSp macro="">
      <xdr:nvCxnSpPr>
        <xdr:cNvPr id="76" name="Прямая соединительная линия 75">
          <a:extLst>
            <a:ext uri="{FF2B5EF4-FFF2-40B4-BE49-F238E27FC236}">
              <a16:creationId xmlns:a16="http://schemas.microsoft.com/office/drawing/2014/main" id="{5DE40BB8-D1DF-4881-B5D1-9124A11A9947}"/>
            </a:ext>
          </a:extLst>
        </xdr:cNvPr>
        <xdr:cNvCxnSpPr/>
      </xdr:nvCxnSpPr>
      <xdr:spPr>
        <a:xfrm flipH="1">
          <a:off x="914400" y="7780020"/>
          <a:ext cx="3032760" cy="7620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4</xdr:col>
      <xdr:colOff>571500</xdr:colOff>
      <xdr:row>42</xdr:row>
      <xdr:rowOff>15240</xdr:rowOff>
    </xdr:from>
    <xdr:ext cx="365760" cy="233205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AB5FDCDF-2B7A-4703-8D73-424D86BE1865}"/>
            </a:ext>
          </a:extLst>
        </xdr:cNvPr>
        <xdr:cNvSpPr txBox="1"/>
      </xdr:nvSpPr>
      <xdr:spPr>
        <a:xfrm>
          <a:off x="3291840" y="7711440"/>
          <a:ext cx="36576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900"/>
            <a:t>15</a:t>
          </a:r>
          <a:endParaRPr lang="ru-BY" sz="1100"/>
        </a:p>
      </xdr:txBody>
    </xdr:sp>
    <xdr:clientData/>
  </xdr:oneCellAnchor>
  <xdr:oneCellAnchor>
    <xdr:from>
      <xdr:col>2</xdr:col>
      <xdr:colOff>586740</xdr:colOff>
      <xdr:row>54</xdr:row>
      <xdr:rowOff>22860</xdr:rowOff>
    </xdr:from>
    <xdr:ext cx="365760" cy="233205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86AF85C0-E3AE-4EC7-B055-35C1DF9CCD9E}"/>
            </a:ext>
          </a:extLst>
        </xdr:cNvPr>
        <xdr:cNvSpPr txBox="1"/>
      </xdr:nvSpPr>
      <xdr:spPr>
        <a:xfrm>
          <a:off x="2087880" y="7901940"/>
          <a:ext cx="36576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900"/>
            <a:t>20</a:t>
          </a:r>
          <a:endParaRPr lang="ru-BY" sz="1100"/>
        </a:p>
      </xdr:txBody>
    </xdr:sp>
    <xdr:clientData/>
  </xdr:oneCellAnchor>
  <xdr:oneCellAnchor>
    <xdr:from>
      <xdr:col>2</xdr:col>
      <xdr:colOff>7620</xdr:colOff>
      <xdr:row>52</xdr:row>
      <xdr:rowOff>0</xdr:rowOff>
    </xdr:from>
    <xdr:ext cx="365760" cy="233205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CFC60D9B-76B2-47CC-96AD-D1D2F7ECA7D1}"/>
            </a:ext>
          </a:extLst>
        </xdr:cNvPr>
        <xdr:cNvSpPr txBox="1"/>
      </xdr:nvSpPr>
      <xdr:spPr>
        <a:xfrm>
          <a:off x="1508760" y="7513320"/>
          <a:ext cx="36576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900"/>
            <a:t>15</a:t>
          </a:r>
          <a:endParaRPr lang="ru-BY" sz="1100"/>
        </a:p>
      </xdr:txBody>
    </xdr:sp>
    <xdr:clientData/>
  </xdr:oneCellAnchor>
  <xdr:oneCellAnchor>
    <xdr:from>
      <xdr:col>4</xdr:col>
      <xdr:colOff>22860</xdr:colOff>
      <xdr:row>52</xdr:row>
      <xdr:rowOff>15240</xdr:rowOff>
    </xdr:from>
    <xdr:ext cx="365760" cy="233205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2C4B127C-BB05-4E86-8C94-8DD5F86F8F8B}"/>
            </a:ext>
          </a:extLst>
        </xdr:cNvPr>
        <xdr:cNvSpPr txBox="1"/>
      </xdr:nvSpPr>
      <xdr:spPr>
        <a:xfrm>
          <a:off x="2743200" y="7528560"/>
          <a:ext cx="36576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900"/>
            <a:t>27</a:t>
          </a:r>
          <a:endParaRPr lang="ru-BY" sz="1100"/>
        </a:p>
      </xdr:txBody>
    </xdr:sp>
    <xdr:clientData/>
  </xdr:oneCellAnchor>
  <xdr:oneCellAnchor>
    <xdr:from>
      <xdr:col>3</xdr:col>
      <xdr:colOff>38100</xdr:colOff>
      <xdr:row>52</xdr:row>
      <xdr:rowOff>175260</xdr:rowOff>
    </xdr:from>
    <xdr:ext cx="365760" cy="233205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6B8D487A-CEB4-48E2-9DBE-08416ECFDFCC}"/>
            </a:ext>
          </a:extLst>
        </xdr:cNvPr>
        <xdr:cNvSpPr txBox="1"/>
      </xdr:nvSpPr>
      <xdr:spPr>
        <a:xfrm>
          <a:off x="2148840" y="7688580"/>
          <a:ext cx="36576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900"/>
            <a:t>5</a:t>
          </a:r>
          <a:endParaRPr lang="ru-BY" sz="1100"/>
        </a:p>
      </xdr:txBody>
    </xdr:sp>
    <xdr:clientData/>
  </xdr:oneCellAnchor>
  <xdr:oneCellAnchor>
    <xdr:from>
      <xdr:col>4</xdr:col>
      <xdr:colOff>571500</xdr:colOff>
      <xdr:row>53</xdr:row>
      <xdr:rowOff>15240</xdr:rowOff>
    </xdr:from>
    <xdr:ext cx="365760" cy="233205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61B55585-B11C-4A73-ABB0-D8DE3C71CD62}"/>
            </a:ext>
          </a:extLst>
        </xdr:cNvPr>
        <xdr:cNvSpPr txBox="1"/>
      </xdr:nvSpPr>
      <xdr:spPr>
        <a:xfrm>
          <a:off x="3291840" y="7711440"/>
          <a:ext cx="36576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900"/>
            <a:t>15</a:t>
          </a:r>
          <a:endParaRPr lang="ru-BY" sz="1100"/>
        </a:p>
      </xdr:txBody>
    </xdr:sp>
    <xdr:clientData/>
  </xdr:oneCellAnchor>
  <xdr:oneCellAnchor>
    <xdr:from>
      <xdr:col>5</xdr:col>
      <xdr:colOff>0</xdr:colOff>
      <xdr:row>52</xdr:row>
      <xdr:rowOff>0</xdr:rowOff>
    </xdr:from>
    <xdr:ext cx="365760" cy="233205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E396CE6D-7236-4094-AF46-29B0BDEB5439}"/>
            </a:ext>
          </a:extLst>
        </xdr:cNvPr>
        <xdr:cNvSpPr txBox="1"/>
      </xdr:nvSpPr>
      <xdr:spPr>
        <a:xfrm>
          <a:off x="3329940" y="9525000"/>
          <a:ext cx="36576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900"/>
            <a:t>18</a:t>
          </a:r>
          <a:endParaRPr lang="ru-BY" sz="1100"/>
        </a:p>
      </xdr:txBody>
    </xdr:sp>
    <xdr:clientData/>
  </xdr:oneCellAnchor>
  <xdr:oneCellAnchor>
    <xdr:from>
      <xdr:col>5</xdr:col>
      <xdr:colOff>586740</xdr:colOff>
      <xdr:row>65</xdr:row>
      <xdr:rowOff>22860</xdr:rowOff>
    </xdr:from>
    <xdr:ext cx="365760" cy="233205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16D5E1B8-80CE-490B-A2D9-86413080E0F9}"/>
            </a:ext>
          </a:extLst>
        </xdr:cNvPr>
        <xdr:cNvSpPr txBox="1"/>
      </xdr:nvSpPr>
      <xdr:spPr>
        <a:xfrm>
          <a:off x="2194560" y="9913620"/>
          <a:ext cx="36576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900" b="1"/>
            <a:t>20</a:t>
          </a:r>
          <a:endParaRPr lang="ru-BY" sz="1100" b="1"/>
        </a:p>
      </xdr:txBody>
    </xdr:sp>
    <xdr:clientData/>
  </xdr:oneCellAnchor>
  <xdr:oneCellAnchor>
    <xdr:from>
      <xdr:col>5</xdr:col>
      <xdr:colOff>7620</xdr:colOff>
      <xdr:row>63</xdr:row>
      <xdr:rowOff>0</xdr:rowOff>
    </xdr:from>
    <xdr:ext cx="365760" cy="233205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ED94F829-1107-449B-B3B9-A78E41BC68CD}"/>
            </a:ext>
          </a:extLst>
        </xdr:cNvPr>
        <xdr:cNvSpPr txBox="1"/>
      </xdr:nvSpPr>
      <xdr:spPr>
        <a:xfrm>
          <a:off x="1615440" y="9525000"/>
          <a:ext cx="36576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900" b="1"/>
            <a:t>15</a:t>
          </a:r>
          <a:endParaRPr lang="ru-BY" sz="1100" b="1"/>
        </a:p>
      </xdr:txBody>
    </xdr:sp>
    <xdr:clientData/>
  </xdr:oneCellAnchor>
  <xdr:oneCellAnchor>
    <xdr:from>
      <xdr:col>7</xdr:col>
      <xdr:colOff>22860</xdr:colOff>
      <xdr:row>63</xdr:row>
      <xdr:rowOff>15240</xdr:rowOff>
    </xdr:from>
    <xdr:ext cx="365760" cy="233205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359B505F-B2C5-4477-96D2-26ECE4E5712E}"/>
            </a:ext>
          </a:extLst>
        </xdr:cNvPr>
        <xdr:cNvSpPr txBox="1"/>
      </xdr:nvSpPr>
      <xdr:spPr>
        <a:xfrm>
          <a:off x="2849880" y="9540240"/>
          <a:ext cx="36576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900" b="1"/>
            <a:t>27</a:t>
          </a:r>
          <a:endParaRPr lang="ru-BY" sz="1100" b="1"/>
        </a:p>
      </xdr:txBody>
    </xdr:sp>
    <xdr:clientData/>
  </xdr:oneCellAnchor>
  <xdr:oneCellAnchor>
    <xdr:from>
      <xdr:col>6</xdr:col>
      <xdr:colOff>38100</xdr:colOff>
      <xdr:row>63</xdr:row>
      <xdr:rowOff>175261</xdr:rowOff>
    </xdr:from>
    <xdr:ext cx="281940" cy="233205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E8A5C0BA-56BA-40CE-B510-012D38B9003B}"/>
            </a:ext>
          </a:extLst>
        </xdr:cNvPr>
        <xdr:cNvSpPr txBox="1"/>
      </xdr:nvSpPr>
      <xdr:spPr>
        <a:xfrm>
          <a:off x="4084320" y="11727181"/>
          <a:ext cx="281940" cy="233205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900" b="1"/>
            <a:t>5</a:t>
          </a:r>
          <a:endParaRPr lang="ru-BY" sz="1100" b="1"/>
        </a:p>
      </xdr:txBody>
    </xdr:sp>
    <xdr:clientData/>
  </xdr:oneCellAnchor>
  <xdr:oneCellAnchor>
    <xdr:from>
      <xdr:col>7</xdr:col>
      <xdr:colOff>571500</xdr:colOff>
      <xdr:row>64</xdr:row>
      <xdr:rowOff>15240</xdr:rowOff>
    </xdr:from>
    <xdr:ext cx="365760" cy="233205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BE4B5340-6F56-44FA-A55C-0D699C415952}"/>
            </a:ext>
          </a:extLst>
        </xdr:cNvPr>
        <xdr:cNvSpPr txBox="1"/>
      </xdr:nvSpPr>
      <xdr:spPr>
        <a:xfrm>
          <a:off x="3398520" y="9723120"/>
          <a:ext cx="36576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900" b="1"/>
            <a:t>15</a:t>
          </a:r>
          <a:endParaRPr lang="ru-BY" sz="1100" b="1"/>
        </a:p>
      </xdr:txBody>
    </xdr:sp>
    <xdr:clientData/>
  </xdr:oneCellAnchor>
  <xdr:oneCellAnchor>
    <xdr:from>
      <xdr:col>8</xdr:col>
      <xdr:colOff>0</xdr:colOff>
      <xdr:row>63</xdr:row>
      <xdr:rowOff>0</xdr:rowOff>
    </xdr:from>
    <xdr:ext cx="365760" cy="233205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8889642C-F8A3-4D02-AA3E-7C5B224AE9A4}"/>
            </a:ext>
          </a:extLst>
        </xdr:cNvPr>
        <xdr:cNvSpPr txBox="1"/>
      </xdr:nvSpPr>
      <xdr:spPr>
        <a:xfrm>
          <a:off x="3436620" y="9525000"/>
          <a:ext cx="36576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900" b="1"/>
            <a:t>18</a:t>
          </a:r>
          <a:endParaRPr lang="ru-BY" sz="1100" b="1"/>
        </a:p>
      </xdr:txBody>
    </xdr:sp>
    <xdr:clientData/>
  </xdr:oneCellAnchor>
  <xdr:oneCellAnchor>
    <xdr:from>
      <xdr:col>5</xdr:col>
      <xdr:colOff>0</xdr:colOff>
      <xdr:row>64</xdr:row>
      <xdr:rowOff>1</xdr:rowOff>
    </xdr:from>
    <xdr:ext cx="472440" cy="23320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518255B-A999-44C6-9EE6-C68602D957C8}"/>
            </a:ext>
          </a:extLst>
        </xdr:cNvPr>
        <xdr:cNvSpPr txBox="1"/>
      </xdr:nvSpPr>
      <xdr:spPr>
        <a:xfrm>
          <a:off x="3436620" y="11734801"/>
          <a:ext cx="47244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900" b="0">
              <a:solidFill>
                <a:srgbClr val="00B050"/>
              </a:solidFill>
            </a:rPr>
            <a:t>-6  </a:t>
          </a:r>
          <a:r>
            <a:rPr lang="ru-RU" sz="900" b="0">
              <a:solidFill>
                <a:srgbClr val="FF0000"/>
              </a:solidFill>
            </a:rPr>
            <a:t>15</a:t>
          </a:r>
          <a:r>
            <a:rPr lang="ru-RU" sz="900" b="0">
              <a:solidFill>
                <a:srgbClr val="00B050"/>
              </a:solidFill>
            </a:rPr>
            <a:t> </a:t>
          </a:r>
          <a:endParaRPr lang="ru-BY" sz="1100" b="0">
            <a:solidFill>
              <a:srgbClr val="00B050"/>
            </a:solidFill>
          </a:endParaRPr>
        </a:p>
      </xdr:txBody>
    </xdr:sp>
    <xdr:clientData/>
  </xdr:oneCellAnchor>
  <xdr:oneCellAnchor>
    <xdr:from>
      <xdr:col>5</xdr:col>
      <xdr:colOff>0</xdr:colOff>
      <xdr:row>65</xdr:row>
      <xdr:rowOff>1</xdr:rowOff>
    </xdr:from>
    <xdr:ext cx="472440" cy="233205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D94810D-A02C-43E9-9669-DEB73D06E8A3}"/>
            </a:ext>
          </a:extLst>
        </xdr:cNvPr>
        <xdr:cNvSpPr txBox="1"/>
      </xdr:nvSpPr>
      <xdr:spPr>
        <a:xfrm>
          <a:off x="3436620" y="11917681"/>
          <a:ext cx="47244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900" b="0">
              <a:solidFill>
                <a:srgbClr val="00B050"/>
              </a:solidFill>
            </a:rPr>
            <a:t>-7 </a:t>
          </a:r>
          <a:r>
            <a:rPr lang="ru-RU" sz="900" b="0">
              <a:solidFill>
                <a:srgbClr val="FF0000"/>
              </a:solidFill>
            </a:rPr>
            <a:t>13</a:t>
          </a:r>
          <a:endParaRPr lang="ru-BY" sz="1100" b="0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0</xdr:colOff>
      <xdr:row>63</xdr:row>
      <xdr:rowOff>0</xdr:rowOff>
    </xdr:from>
    <xdr:ext cx="365760" cy="233205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2F90C3B-9A97-4C01-8719-32A2884B1268}"/>
            </a:ext>
          </a:extLst>
        </xdr:cNvPr>
        <xdr:cNvSpPr txBox="1"/>
      </xdr:nvSpPr>
      <xdr:spPr>
        <a:xfrm>
          <a:off x="4046220" y="11551920"/>
          <a:ext cx="36576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900" b="0">
              <a:solidFill>
                <a:srgbClr val="00B050"/>
              </a:solidFill>
            </a:rPr>
            <a:t>9 </a:t>
          </a:r>
          <a:r>
            <a:rPr lang="ru-RU" sz="900" b="0">
              <a:solidFill>
                <a:srgbClr val="FF0000"/>
              </a:solidFill>
            </a:rPr>
            <a:t>-5</a:t>
          </a:r>
          <a:endParaRPr lang="ru-BY" sz="1100" b="0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0</xdr:colOff>
      <xdr:row>65</xdr:row>
      <xdr:rowOff>0</xdr:rowOff>
    </xdr:from>
    <xdr:ext cx="365760" cy="233205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7872AA6-C1BE-40A5-9A10-355074DF3629}"/>
            </a:ext>
          </a:extLst>
        </xdr:cNvPr>
        <xdr:cNvSpPr txBox="1"/>
      </xdr:nvSpPr>
      <xdr:spPr>
        <a:xfrm>
          <a:off x="5265420" y="11917680"/>
          <a:ext cx="36576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900" b="0">
              <a:solidFill>
                <a:srgbClr val="00B050"/>
              </a:solidFill>
            </a:rPr>
            <a:t>1 </a:t>
          </a:r>
          <a:r>
            <a:rPr lang="ru-RU" sz="900" b="0">
              <a:solidFill>
                <a:srgbClr val="FF0000"/>
              </a:solidFill>
            </a:rPr>
            <a:t>2</a:t>
          </a:r>
          <a:endParaRPr lang="ru-BY" sz="1100" b="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0</xdr:colOff>
      <xdr:row>64</xdr:row>
      <xdr:rowOff>1</xdr:rowOff>
    </xdr:from>
    <xdr:ext cx="441960" cy="233205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0268B96-2B2D-488B-8733-680A356E82B2}"/>
            </a:ext>
          </a:extLst>
        </xdr:cNvPr>
        <xdr:cNvSpPr txBox="1"/>
      </xdr:nvSpPr>
      <xdr:spPr>
        <a:xfrm>
          <a:off x="4655820" y="11734801"/>
          <a:ext cx="44196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900" b="0">
              <a:solidFill>
                <a:srgbClr val="00B050"/>
              </a:solidFill>
            </a:rPr>
            <a:t>-6 </a:t>
          </a:r>
          <a:r>
            <a:rPr lang="ru-RU" sz="900" b="0">
              <a:solidFill>
                <a:srgbClr val="FF0000"/>
              </a:solidFill>
            </a:rPr>
            <a:t>14</a:t>
          </a:r>
          <a:endParaRPr lang="ru-BY" sz="1100" b="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0</xdr:colOff>
      <xdr:row>65</xdr:row>
      <xdr:rowOff>1</xdr:rowOff>
    </xdr:from>
    <xdr:ext cx="495300" cy="233205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D567815-E156-47DD-A3B4-EEA320955021}"/>
            </a:ext>
          </a:extLst>
        </xdr:cNvPr>
        <xdr:cNvSpPr txBox="1"/>
      </xdr:nvSpPr>
      <xdr:spPr>
        <a:xfrm>
          <a:off x="4655820" y="11917681"/>
          <a:ext cx="4953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900" b="0">
              <a:solidFill>
                <a:srgbClr val="00B050"/>
              </a:solidFill>
            </a:rPr>
            <a:t>-7 </a:t>
          </a:r>
          <a:r>
            <a:rPr lang="ru-RU" sz="900" b="0">
              <a:solidFill>
                <a:srgbClr val="FF0000"/>
              </a:solidFill>
            </a:rPr>
            <a:t>14</a:t>
          </a:r>
          <a:endParaRPr lang="ru-BY" sz="1100" b="0">
            <a:solidFill>
              <a:srgbClr val="FF0000"/>
            </a:solidFill>
          </a:endParaRPr>
        </a:p>
      </xdr:txBody>
    </xdr:sp>
    <xdr:clientData/>
  </xdr:oneCellAnchor>
  <xdr:twoCellAnchor>
    <xdr:from>
      <xdr:col>6</xdr:col>
      <xdr:colOff>213360</xdr:colOff>
      <xdr:row>62</xdr:row>
      <xdr:rowOff>167641</xdr:rowOff>
    </xdr:from>
    <xdr:to>
      <xdr:col>6</xdr:col>
      <xdr:colOff>419100</xdr:colOff>
      <xdr:row>64</xdr:row>
      <xdr:rowOff>1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20EDC50-7AE6-42B3-AAE8-86C4F7B9B1EE}"/>
            </a:ext>
          </a:extLst>
        </xdr:cNvPr>
        <xdr:cNvSpPr txBox="1"/>
      </xdr:nvSpPr>
      <xdr:spPr>
        <a:xfrm>
          <a:off x="4259580" y="11536681"/>
          <a:ext cx="205740" cy="1981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i="0">
              <a:solidFill>
                <a:sysClr val="windowText" lastClr="000000"/>
              </a:solidFill>
            </a:rPr>
            <a:t>+</a:t>
          </a:r>
          <a:endParaRPr lang="ru-BY" sz="1100" b="1" i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205740</xdr:colOff>
      <xdr:row>62</xdr:row>
      <xdr:rowOff>167640</xdr:rowOff>
    </xdr:from>
    <xdr:to>
      <xdr:col>8</xdr:col>
      <xdr:colOff>411480</xdr:colOff>
      <xdr:row>64</xdr:row>
      <xdr:rowOff>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B6B4D82C-D40E-430E-8390-6F6A3F8C8A4A}"/>
            </a:ext>
          </a:extLst>
        </xdr:cNvPr>
        <xdr:cNvSpPr txBox="1"/>
      </xdr:nvSpPr>
      <xdr:spPr>
        <a:xfrm>
          <a:off x="5471160" y="11536680"/>
          <a:ext cx="205740" cy="1981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i="0">
              <a:solidFill>
                <a:sysClr val="windowText" lastClr="000000"/>
              </a:solidFill>
            </a:rPr>
            <a:t>-</a:t>
          </a:r>
          <a:endParaRPr lang="ru-BY" sz="1100" b="1" i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198120</xdr:colOff>
      <xdr:row>63</xdr:row>
      <xdr:rowOff>167640</xdr:rowOff>
    </xdr:from>
    <xdr:to>
      <xdr:col>8</xdr:col>
      <xdr:colOff>403860</xdr:colOff>
      <xdr:row>65</xdr:row>
      <xdr:rowOff>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A8F21DE1-3780-4269-A589-A4B4371498DA}"/>
            </a:ext>
          </a:extLst>
        </xdr:cNvPr>
        <xdr:cNvSpPr txBox="1"/>
      </xdr:nvSpPr>
      <xdr:spPr>
        <a:xfrm>
          <a:off x="5463540" y="11719560"/>
          <a:ext cx="205740" cy="1981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i="0">
              <a:solidFill>
                <a:sysClr val="windowText" lastClr="000000"/>
              </a:solidFill>
            </a:rPr>
            <a:t>+</a:t>
          </a:r>
          <a:endParaRPr lang="ru-BY" sz="1100" b="1" i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213360</xdr:colOff>
      <xdr:row>63</xdr:row>
      <xdr:rowOff>167640</xdr:rowOff>
    </xdr:from>
    <xdr:to>
      <xdr:col>6</xdr:col>
      <xdr:colOff>419100</xdr:colOff>
      <xdr:row>65</xdr:row>
      <xdr:rowOff>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E49DD007-CCDD-4B92-8719-DD6580BE5D46}"/>
            </a:ext>
          </a:extLst>
        </xdr:cNvPr>
        <xdr:cNvSpPr txBox="1"/>
      </xdr:nvSpPr>
      <xdr:spPr>
        <a:xfrm>
          <a:off x="4259580" y="11719560"/>
          <a:ext cx="205740" cy="1981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i="0">
              <a:solidFill>
                <a:sysClr val="windowText" lastClr="000000"/>
              </a:solidFill>
            </a:rPr>
            <a:t>-</a:t>
          </a:r>
          <a:endParaRPr lang="ru-BY" sz="1100" b="1" i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289560</xdr:colOff>
      <xdr:row>63</xdr:row>
      <xdr:rowOff>60959</xdr:rowOff>
    </xdr:from>
    <xdr:to>
      <xdr:col>8</xdr:col>
      <xdr:colOff>281940</xdr:colOff>
      <xdr:row>64</xdr:row>
      <xdr:rowOff>152400</xdr:rowOff>
    </xdr:to>
    <xdr:sp macro="" textlink="">
      <xdr:nvSpPr>
        <xdr:cNvPr id="20" name="Полилиния: фигура 19">
          <a:extLst>
            <a:ext uri="{FF2B5EF4-FFF2-40B4-BE49-F238E27FC236}">
              <a16:creationId xmlns:a16="http://schemas.microsoft.com/office/drawing/2014/main" id="{C39A6B52-D16B-457D-BDCD-915BBD7D5F16}"/>
            </a:ext>
          </a:extLst>
        </xdr:cNvPr>
        <xdr:cNvSpPr/>
      </xdr:nvSpPr>
      <xdr:spPr>
        <a:xfrm>
          <a:off x="4335780" y="11612879"/>
          <a:ext cx="1211580" cy="274321"/>
        </a:xfrm>
        <a:custGeom>
          <a:avLst/>
          <a:gdLst>
            <a:gd name="connsiteX0" fmla="*/ 1251857 w 1260929"/>
            <a:gd name="connsiteY0" fmla="*/ 0 h 371929"/>
            <a:gd name="connsiteX1" fmla="*/ 0 w 1260929"/>
            <a:gd name="connsiteY1" fmla="*/ 9072 h 371929"/>
            <a:gd name="connsiteX2" fmla="*/ 0 w 1260929"/>
            <a:gd name="connsiteY2" fmla="*/ 371929 h 371929"/>
            <a:gd name="connsiteX3" fmla="*/ 1260929 w 1260929"/>
            <a:gd name="connsiteY3" fmla="*/ 362858 h 371929"/>
            <a:gd name="connsiteX4" fmla="*/ 1251857 w 1260929"/>
            <a:gd name="connsiteY4" fmla="*/ 0 h 3719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260929" h="371929">
              <a:moveTo>
                <a:pt x="1251857" y="0"/>
              </a:moveTo>
              <a:lnTo>
                <a:pt x="0" y="9072"/>
              </a:lnTo>
              <a:lnTo>
                <a:pt x="0" y="371929"/>
              </a:lnTo>
              <a:lnTo>
                <a:pt x="1260929" y="362858"/>
              </a:lnTo>
              <a:lnTo>
                <a:pt x="1251857" y="0"/>
              </a:lnTo>
              <a:close/>
            </a:path>
          </a:pathLst>
        </a:custGeom>
        <a:noFill/>
        <a:ln w="6350">
          <a:solidFill>
            <a:sysClr val="windowText" lastClr="00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BY" sz="1100"/>
        </a:p>
      </xdr:txBody>
    </xdr:sp>
    <xdr:clientData/>
  </xdr:twoCellAnchor>
  <xdr:oneCellAnchor>
    <xdr:from>
      <xdr:col>6</xdr:col>
      <xdr:colOff>38100</xdr:colOff>
      <xdr:row>73</xdr:row>
      <xdr:rowOff>167640</xdr:rowOff>
    </xdr:from>
    <xdr:ext cx="426720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2010E68D-D792-46C9-8974-0F81CF30469E}"/>
            </a:ext>
          </a:extLst>
        </xdr:cNvPr>
        <xdr:cNvSpPr txBox="1"/>
      </xdr:nvSpPr>
      <xdr:spPr>
        <a:xfrm>
          <a:off x="4084320" y="13548360"/>
          <a:ext cx="4267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 b="1"/>
            <a:t>- 20</a:t>
          </a:r>
          <a:endParaRPr lang="ru-BY" sz="1600" b="1"/>
        </a:p>
      </xdr:txBody>
    </xdr:sp>
    <xdr:clientData/>
  </xdr:oneCellAnchor>
  <xdr:oneCellAnchor>
    <xdr:from>
      <xdr:col>5</xdr:col>
      <xdr:colOff>7620</xdr:colOff>
      <xdr:row>72</xdr:row>
      <xdr:rowOff>0</xdr:rowOff>
    </xdr:from>
    <xdr:ext cx="365760" cy="25673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36D874E-DF29-4E6B-8EC5-F33DB5B315C8}"/>
            </a:ext>
          </a:extLst>
        </xdr:cNvPr>
        <xdr:cNvSpPr txBox="1"/>
      </xdr:nvSpPr>
      <xdr:spPr>
        <a:xfrm>
          <a:off x="3444240" y="13197840"/>
          <a:ext cx="365760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050" b="1"/>
            <a:t>15</a:t>
          </a:r>
          <a:endParaRPr lang="ru-BY" sz="1400" b="1"/>
        </a:p>
      </xdr:txBody>
    </xdr:sp>
    <xdr:clientData/>
  </xdr:oneCellAnchor>
  <xdr:oneCellAnchor>
    <xdr:from>
      <xdr:col>7</xdr:col>
      <xdr:colOff>22860</xdr:colOff>
      <xdr:row>71</xdr:row>
      <xdr:rowOff>167640</xdr:rowOff>
    </xdr:from>
    <xdr:ext cx="365760" cy="25673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5DA2F09-6D67-44C8-A6D4-9ED2F187B1B6}"/>
            </a:ext>
          </a:extLst>
        </xdr:cNvPr>
        <xdr:cNvSpPr txBox="1"/>
      </xdr:nvSpPr>
      <xdr:spPr>
        <a:xfrm>
          <a:off x="4678680" y="13182600"/>
          <a:ext cx="365760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050" b="1"/>
            <a:t>27</a:t>
          </a:r>
          <a:endParaRPr lang="ru-BY" sz="1100" b="1"/>
        </a:p>
      </xdr:txBody>
    </xdr:sp>
    <xdr:clientData/>
  </xdr:oneCellAnchor>
  <xdr:oneCellAnchor>
    <xdr:from>
      <xdr:col>7</xdr:col>
      <xdr:colOff>601980</xdr:colOff>
      <xdr:row>72</xdr:row>
      <xdr:rowOff>175260</xdr:rowOff>
    </xdr:from>
    <xdr:ext cx="365760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10F03577-6304-420B-B080-5D331FEE8D8E}"/>
            </a:ext>
          </a:extLst>
        </xdr:cNvPr>
        <xdr:cNvSpPr txBox="1"/>
      </xdr:nvSpPr>
      <xdr:spPr>
        <a:xfrm>
          <a:off x="5257800" y="13373100"/>
          <a:ext cx="3657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 b="1"/>
            <a:t>20</a:t>
          </a:r>
          <a:endParaRPr lang="ru-BY" sz="1600" b="1"/>
        </a:p>
      </xdr:txBody>
    </xdr:sp>
    <xdr:clientData/>
  </xdr:oneCellAnchor>
  <xdr:oneCellAnchor>
    <xdr:from>
      <xdr:col>8</xdr:col>
      <xdr:colOff>0</xdr:colOff>
      <xdr:row>72</xdr:row>
      <xdr:rowOff>0</xdr:rowOff>
    </xdr:from>
    <xdr:ext cx="365760" cy="22098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9528EA01-0AA8-4522-BC01-FAB374CFED6A}"/>
            </a:ext>
          </a:extLst>
        </xdr:cNvPr>
        <xdr:cNvSpPr txBox="1"/>
      </xdr:nvSpPr>
      <xdr:spPr>
        <a:xfrm>
          <a:off x="5265420" y="13197840"/>
          <a:ext cx="365760" cy="22098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 sz="1100" b="1"/>
            <a:t>13</a:t>
          </a:r>
          <a:endParaRPr lang="ru-BY" sz="1600" b="1"/>
        </a:p>
      </xdr:txBody>
    </xdr:sp>
    <xdr:clientData/>
  </xdr:oneCellAnchor>
  <xdr:oneCellAnchor>
    <xdr:from>
      <xdr:col>5</xdr:col>
      <xdr:colOff>0</xdr:colOff>
      <xdr:row>73</xdr:row>
      <xdr:rowOff>1</xdr:rowOff>
    </xdr:from>
    <xdr:ext cx="472440" cy="233205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5BB2544-9D9A-48E8-9C2D-6B844D46B041}"/>
            </a:ext>
          </a:extLst>
        </xdr:cNvPr>
        <xdr:cNvSpPr txBox="1"/>
      </xdr:nvSpPr>
      <xdr:spPr>
        <a:xfrm>
          <a:off x="3436620" y="11734801"/>
          <a:ext cx="47244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900" b="0">
              <a:solidFill>
                <a:srgbClr val="00B050"/>
              </a:solidFill>
            </a:rPr>
            <a:t>-6  </a:t>
          </a:r>
          <a:r>
            <a:rPr lang="ru-RU" sz="900" b="0">
              <a:solidFill>
                <a:srgbClr val="FF0000"/>
              </a:solidFill>
            </a:rPr>
            <a:t>15</a:t>
          </a:r>
          <a:r>
            <a:rPr lang="ru-RU" sz="900" b="0">
              <a:solidFill>
                <a:srgbClr val="00B050"/>
              </a:solidFill>
            </a:rPr>
            <a:t> </a:t>
          </a:r>
          <a:endParaRPr lang="ru-BY" sz="1100" b="0">
            <a:solidFill>
              <a:srgbClr val="00B050"/>
            </a:solidFill>
          </a:endParaRPr>
        </a:p>
      </xdr:txBody>
    </xdr:sp>
    <xdr:clientData/>
  </xdr:oneCellAnchor>
  <xdr:oneCellAnchor>
    <xdr:from>
      <xdr:col>5</xdr:col>
      <xdr:colOff>0</xdr:colOff>
      <xdr:row>74</xdr:row>
      <xdr:rowOff>1</xdr:rowOff>
    </xdr:from>
    <xdr:ext cx="472440" cy="233205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74552877-E7BB-4F93-866B-1B55E403483E}"/>
            </a:ext>
          </a:extLst>
        </xdr:cNvPr>
        <xdr:cNvSpPr txBox="1"/>
      </xdr:nvSpPr>
      <xdr:spPr>
        <a:xfrm>
          <a:off x="3436620" y="11917681"/>
          <a:ext cx="47244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900" b="0">
              <a:solidFill>
                <a:srgbClr val="00B050"/>
              </a:solidFill>
            </a:rPr>
            <a:t>-2</a:t>
          </a:r>
          <a:r>
            <a:rPr lang="ru-RU" sz="900" b="0" baseline="0">
              <a:solidFill>
                <a:srgbClr val="00B050"/>
              </a:solidFill>
            </a:rPr>
            <a:t> </a:t>
          </a:r>
          <a:r>
            <a:rPr lang="ru-RU" sz="900" b="0" baseline="0">
              <a:solidFill>
                <a:srgbClr val="FF0000"/>
              </a:solidFill>
            </a:rPr>
            <a:t>8</a:t>
          </a:r>
          <a:endParaRPr lang="ru-BY" sz="1100" b="0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53340</xdr:colOff>
      <xdr:row>73</xdr:row>
      <xdr:rowOff>1</xdr:rowOff>
    </xdr:from>
    <xdr:ext cx="495300" cy="23622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F3472F5D-BBFF-4D64-BB78-B6DCAFF32CEA}"/>
            </a:ext>
          </a:extLst>
        </xdr:cNvPr>
        <xdr:cNvSpPr txBox="1"/>
      </xdr:nvSpPr>
      <xdr:spPr>
        <a:xfrm>
          <a:off x="4099560" y="13380721"/>
          <a:ext cx="495300" cy="236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900" b="0">
              <a:solidFill>
                <a:srgbClr val="00B050"/>
              </a:solidFill>
            </a:rPr>
            <a:t>-3 </a:t>
          </a:r>
          <a:r>
            <a:rPr lang="ru-RU" sz="900" b="0">
              <a:solidFill>
                <a:srgbClr val="FF0000"/>
              </a:solidFill>
            </a:rPr>
            <a:t>5</a:t>
          </a:r>
          <a:endParaRPr lang="ru-BY" sz="1100" b="0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0</xdr:colOff>
      <xdr:row>74</xdr:row>
      <xdr:rowOff>1</xdr:rowOff>
    </xdr:from>
    <xdr:ext cx="464820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29A02893-170B-4879-AA5D-1C7FEF2F086B}"/>
            </a:ext>
          </a:extLst>
        </xdr:cNvPr>
        <xdr:cNvSpPr txBox="1"/>
      </xdr:nvSpPr>
      <xdr:spPr>
        <a:xfrm>
          <a:off x="5265420" y="13563601"/>
          <a:ext cx="4648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900" b="0">
              <a:solidFill>
                <a:srgbClr val="00B050"/>
              </a:solidFill>
            </a:rPr>
            <a:t>6 </a:t>
          </a:r>
          <a:r>
            <a:rPr lang="ru-RU" sz="900" b="0">
              <a:solidFill>
                <a:srgbClr val="FF0000"/>
              </a:solidFill>
            </a:rPr>
            <a:t>-3 </a:t>
          </a:r>
          <a:r>
            <a:rPr lang="ru-RU" sz="1100" b="1">
              <a:solidFill>
                <a:sysClr val="windowText" lastClr="000000"/>
              </a:solidFill>
            </a:rPr>
            <a:t>+</a:t>
          </a:r>
          <a:endParaRPr lang="ru-BY" sz="11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7</xdr:col>
      <xdr:colOff>0</xdr:colOff>
      <xdr:row>73</xdr:row>
      <xdr:rowOff>1</xdr:rowOff>
    </xdr:from>
    <xdr:ext cx="525780" cy="233205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CFC5AC91-5DBC-44FA-BAC8-78A596E8CCEB}"/>
            </a:ext>
          </a:extLst>
        </xdr:cNvPr>
        <xdr:cNvSpPr txBox="1"/>
      </xdr:nvSpPr>
      <xdr:spPr>
        <a:xfrm>
          <a:off x="4655820" y="13380721"/>
          <a:ext cx="52578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900" b="0">
              <a:solidFill>
                <a:srgbClr val="00B050"/>
              </a:solidFill>
            </a:rPr>
            <a:t>-6 </a:t>
          </a:r>
          <a:r>
            <a:rPr lang="ru-RU" sz="900" b="0">
              <a:solidFill>
                <a:srgbClr val="FF0000"/>
              </a:solidFill>
            </a:rPr>
            <a:t>14</a:t>
          </a:r>
          <a:endParaRPr lang="ru-BY" sz="1100" b="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0</xdr:colOff>
      <xdr:row>74</xdr:row>
      <xdr:rowOff>1</xdr:rowOff>
    </xdr:from>
    <xdr:ext cx="495300" cy="233205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FE950BE5-364D-4E81-ACF0-EF77BB80799E}"/>
            </a:ext>
          </a:extLst>
        </xdr:cNvPr>
        <xdr:cNvSpPr txBox="1"/>
      </xdr:nvSpPr>
      <xdr:spPr>
        <a:xfrm>
          <a:off x="4655820" y="11917681"/>
          <a:ext cx="4953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900" b="0">
              <a:solidFill>
                <a:srgbClr val="00B050"/>
              </a:solidFill>
            </a:rPr>
            <a:t>-2 </a:t>
          </a:r>
          <a:r>
            <a:rPr lang="ru-RU" sz="900" b="0">
              <a:solidFill>
                <a:srgbClr val="FF0000"/>
              </a:solidFill>
            </a:rPr>
            <a:t>9</a:t>
          </a:r>
          <a:endParaRPr lang="ru-BY" sz="1100" b="0">
            <a:solidFill>
              <a:srgbClr val="FF0000"/>
            </a:solidFill>
          </a:endParaRPr>
        </a:p>
      </xdr:txBody>
    </xdr:sp>
    <xdr:clientData/>
  </xdr:oneCellAnchor>
  <xdr:twoCellAnchor>
    <xdr:from>
      <xdr:col>6</xdr:col>
      <xdr:colOff>167640</xdr:colOff>
      <xdr:row>71</xdr:row>
      <xdr:rowOff>167641</xdr:rowOff>
    </xdr:from>
    <xdr:to>
      <xdr:col>6</xdr:col>
      <xdr:colOff>518160</xdr:colOff>
      <xdr:row>72</xdr:row>
      <xdr:rowOff>167640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3D5B837-5893-4157-B654-DCC9EE4AF5CF}"/>
            </a:ext>
          </a:extLst>
        </xdr:cNvPr>
        <xdr:cNvSpPr txBox="1"/>
      </xdr:nvSpPr>
      <xdr:spPr>
        <a:xfrm>
          <a:off x="4213860" y="13182601"/>
          <a:ext cx="350520" cy="1828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i="0">
              <a:solidFill>
                <a:sysClr val="windowText" lastClr="000000"/>
              </a:solidFill>
            </a:rPr>
            <a:t>+5</a:t>
          </a:r>
          <a:endParaRPr lang="ru-BY" sz="1100" b="1" i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205740</xdr:colOff>
      <xdr:row>71</xdr:row>
      <xdr:rowOff>167640</xdr:rowOff>
    </xdr:from>
    <xdr:to>
      <xdr:col>8</xdr:col>
      <xdr:colOff>411480</xdr:colOff>
      <xdr:row>73</xdr:row>
      <xdr:rowOff>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53AD2282-EEDC-40F2-B0F6-D344EDF55F29}"/>
            </a:ext>
          </a:extLst>
        </xdr:cNvPr>
        <xdr:cNvSpPr txBox="1"/>
      </xdr:nvSpPr>
      <xdr:spPr>
        <a:xfrm>
          <a:off x="5471160" y="11536680"/>
          <a:ext cx="205740" cy="1981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i="0">
              <a:solidFill>
                <a:sysClr val="windowText" lastClr="000000"/>
              </a:solidFill>
            </a:rPr>
            <a:t>-</a:t>
          </a:r>
          <a:endParaRPr lang="ru-BY" sz="1100" b="1" i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198120</xdr:colOff>
      <xdr:row>72</xdr:row>
      <xdr:rowOff>167640</xdr:rowOff>
    </xdr:from>
    <xdr:to>
      <xdr:col>8</xdr:col>
      <xdr:colOff>403860</xdr:colOff>
      <xdr:row>74</xdr:row>
      <xdr:rowOff>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E7268BF-713B-4B0F-9D33-23AA62A223D8}"/>
            </a:ext>
          </a:extLst>
        </xdr:cNvPr>
        <xdr:cNvSpPr txBox="1"/>
      </xdr:nvSpPr>
      <xdr:spPr>
        <a:xfrm>
          <a:off x="5463540" y="11719560"/>
          <a:ext cx="205740" cy="1981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ru-BY" sz="1100" b="1" i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464820</xdr:colOff>
      <xdr:row>76</xdr:row>
      <xdr:rowOff>76200</xdr:rowOff>
    </xdr:from>
    <xdr:to>
      <xdr:col>7</xdr:col>
      <xdr:colOff>99060</xdr:colOff>
      <xdr:row>77</xdr:row>
      <xdr:rowOff>114300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3708E2C5-F146-4036-A5EA-68A4F31B480E}"/>
            </a:ext>
          </a:extLst>
        </xdr:cNvPr>
        <xdr:cNvSpPr txBox="1"/>
      </xdr:nvSpPr>
      <xdr:spPr>
        <a:xfrm>
          <a:off x="4511040" y="14005560"/>
          <a:ext cx="24384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ru-BY" sz="1100" b="1" i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198120</xdr:colOff>
      <xdr:row>72</xdr:row>
      <xdr:rowOff>99060</xdr:rowOff>
    </xdr:from>
    <xdr:to>
      <xdr:col>8</xdr:col>
      <xdr:colOff>190500</xdr:colOff>
      <xdr:row>74</xdr:row>
      <xdr:rowOff>137160</xdr:rowOff>
    </xdr:to>
    <xdr:sp macro="" textlink="">
      <xdr:nvSpPr>
        <xdr:cNvPr id="43" name="Полилиния: фигура 42">
          <a:extLst>
            <a:ext uri="{FF2B5EF4-FFF2-40B4-BE49-F238E27FC236}">
              <a16:creationId xmlns:a16="http://schemas.microsoft.com/office/drawing/2014/main" id="{3096CC95-FBB6-40D1-BDF7-E3579329D3CA}"/>
            </a:ext>
          </a:extLst>
        </xdr:cNvPr>
        <xdr:cNvSpPr/>
      </xdr:nvSpPr>
      <xdr:spPr>
        <a:xfrm>
          <a:off x="4244340" y="13296900"/>
          <a:ext cx="1211580" cy="403860"/>
        </a:xfrm>
        <a:custGeom>
          <a:avLst/>
          <a:gdLst>
            <a:gd name="connsiteX0" fmla="*/ 1251857 w 1260929"/>
            <a:gd name="connsiteY0" fmla="*/ 0 h 371929"/>
            <a:gd name="connsiteX1" fmla="*/ 0 w 1260929"/>
            <a:gd name="connsiteY1" fmla="*/ 9072 h 371929"/>
            <a:gd name="connsiteX2" fmla="*/ 0 w 1260929"/>
            <a:gd name="connsiteY2" fmla="*/ 371929 h 371929"/>
            <a:gd name="connsiteX3" fmla="*/ 1260929 w 1260929"/>
            <a:gd name="connsiteY3" fmla="*/ 362858 h 371929"/>
            <a:gd name="connsiteX4" fmla="*/ 1251857 w 1260929"/>
            <a:gd name="connsiteY4" fmla="*/ 0 h 3719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260929" h="371929">
              <a:moveTo>
                <a:pt x="1251857" y="0"/>
              </a:moveTo>
              <a:lnTo>
                <a:pt x="0" y="9072"/>
              </a:lnTo>
              <a:lnTo>
                <a:pt x="0" y="371929"/>
              </a:lnTo>
              <a:lnTo>
                <a:pt x="1260929" y="362858"/>
              </a:lnTo>
              <a:lnTo>
                <a:pt x="1251857" y="0"/>
              </a:lnTo>
              <a:close/>
            </a:path>
          </a:pathLst>
        </a:custGeom>
        <a:noFill/>
        <a:ln w="6350">
          <a:solidFill>
            <a:sysClr val="windowText" lastClr="00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BY" sz="1100"/>
        </a:p>
      </xdr:txBody>
    </xdr:sp>
    <xdr:clientData/>
  </xdr:twoCellAnchor>
  <xdr:oneCellAnchor>
    <xdr:from>
      <xdr:col>6</xdr:col>
      <xdr:colOff>38100</xdr:colOff>
      <xdr:row>82</xdr:row>
      <xdr:rowOff>167640</xdr:rowOff>
    </xdr:from>
    <xdr:ext cx="426720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2AF154D0-3587-4DF6-86DB-DA710601D1FC}"/>
            </a:ext>
          </a:extLst>
        </xdr:cNvPr>
        <xdr:cNvSpPr txBox="1"/>
      </xdr:nvSpPr>
      <xdr:spPr>
        <a:xfrm>
          <a:off x="4084320" y="15194280"/>
          <a:ext cx="4267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 b="1"/>
            <a:t>7</a:t>
          </a:r>
          <a:endParaRPr lang="ru-BY" sz="1600" b="1"/>
        </a:p>
      </xdr:txBody>
    </xdr:sp>
    <xdr:clientData/>
  </xdr:oneCellAnchor>
  <xdr:oneCellAnchor>
    <xdr:from>
      <xdr:col>5</xdr:col>
      <xdr:colOff>7620</xdr:colOff>
      <xdr:row>81</xdr:row>
      <xdr:rowOff>0</xdr:rowOff>
    </xdr:from>
    <xdr:ext cx="365760" cy="25673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A2F1826D-2C93-4C00-93B3-DB1EF5AAC226}"/>
            </a:ext>
          </a:extLst>
        </xdr:cNvPr>
        <xdr:cNvSpPr txBox="1"/>
      </xdr:nvSpPr>
      <xdr:spPr>
        <a:xfrm>
          <a:off x="3444240" y="13197840"/>
          <a:ext cx="365760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050" b="1"/>
            <a:t>15</a:t>
          </a:r>
          <a:endParaRPr lang="ru-BY" sz="1400" b="1"/>
        </a:p>
      </xdr:txBody>
    </xdr:sp>
    <xdr:clientData/>
  </xdr:oneCellAnchor>
  <xdr:oneCellAnchor>
    <xdr:from>
      <xdr:col>7</xdr:col>
      <xdr:colOff>22860</xdr:colOff>
      <xdr:row>80</xdr:row>
      <xdr:rowOff>167640</xdr:rowOff>
    </xdr:from>
    <xdr:ext cx="365760" cy="25673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76FD0D42-917D-449F-AE41-176CA313C1B8}"/>
            </a:ext>
          </a:extLst>
        </xdr:cNvPr>
        <xdr:cNvSpPr txBox="1"/>
      </xdr:nvSpPr>
      <xdr:spPr>
        <a:xfrm>
          <a:off x="4678680" y="13182600"/>
          <a:ext cx="365760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050" b="1"/>
            <a:t>27</a:t>
          </a:r>
          <a:endParaRPr lang="ru-BY" sz="1100" b="1"/>
        </a:p>
      </xdr:txBody>
    </xdr:sp>
    <xdr:clientData/>
  </xdr:oneCellAnchor>
  <xdr:oneCellAnchor>
    <xdr:from>
      <xdr:col>7</xdr:col>
      <xdr:colOff>601980</xdr:colOff>
      <xdr:row>81</xdr:row>
      <xdr:rowOff>175260</xdr:rowOff>
    </xdr:from>
    <xdr:ext cx="365760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AAAA4154-29E8-48E7-A0EA-1541E5A1DECD}"/>
            </a:ext>
          </a:extLst>
        </xdr:cNvPr>
        <xdr:cNvSpPr txBox="1"/>
      </xdr:nvSpPr>
      <xdr:spPr>
        <a:xfrm>
          <a:off x="5257800" y="13373100"/>
          <a:ext cx="3657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 b="1"/>
            <a:t>20</a:t>
          </a:r>
          <a:endParaRPr lang="ru-BY" sz="1600" b="1"/>
        </a:p>
      </xdr:txBody>
    </xdr:sp>
    <xdr:clientData/>
  </xdr:oneCellAnchor>
  <xdr:oneCellAnchor>
    <xdr:from>
      <xdr:col>5</xdr:col>
      <xdr:colOff>0</xdr:colOff>
      <xdr:row>82</xdr:row>
      <xdr:rowOff>1</xdr:rowOff>
    </xdr:from>
    <xdr:ext cx="472440" cy="233205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E0BC694F-C6A9-43E8-A1E8-4868E6C201CC}"/>
            </a:ext>
          </a:extLst>
        </xdr:cNvPr>
        <xdr:cNvSpPr txBox="1"/>
      </xdr:nvSpPr>
      <xdr:spPr>
        <a:xfrm>
          <a:off x="3436620" y="13380721"/>
          <a:ext cx="47244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900" b="0">
              <a:solidFill>
                <a:srgbClr val="00B050"/>
              </a:solidFill>
            </a:rPr>
            <a:t>-3  </a:t>
          </a:r>
          <a:r>
            <a:rPr lang="ru-RU" sz="900" b="0">
              <a:solidFill>
                <a:srgbClr val="FF0000"/>
              </a:solidFill>
            </a:rPr>
            <a:t>12</a:t>
          </a:r>
          <a:r>
            <a:rPr lang="ru-RU" sz="900" b="0">
              <a:solidFill>
                <a:srgbClr val="00B050"/>
              </a:solidFill>
            </a:rPr>
            <a:t> </a:t>
          </a:r>
          <a:endParaRPr lang="ru-BY" sz="1100" b="0">
            <a:solidFill>
              <a:srgbClr val="00B050"/>
            </a:solidFill>
          </a:endParaRPr>
        </a:p>
      </xdr:txBody>
    </xdr:sp>
    <xdr:clientData/>
  </xdr:oneCellAnchor>
  <xdr:oneCellAnchor>
    <xdr:from>
      <xdr:col>5</xdr:col>
      <xdr:colOff>0</xdr:colOff>
      <xdr:row>83</xdr:row>
      <xdr:rowOff>1</xdr:rowOff>
    </xdr:from>
    <xdr:ext cx="472440" cy="233205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9E697735-366D-4B97-A17A-7865F3FE5B8A}"/>
            </a:ext>
          </a:extLst>
        </xdr:cNvPr>
        <xdr:cNvSpPr txBox="1"/>
      </xdr:nvSpPr>
      <xdr:spPr>
        <a:xfrm>
          <a:off x="3436620" y="13563601"/>
          <a:ext cx="47244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900" b="0">
              <a:solidFill>
                <a:srgbClr val="00B050"/>
              </a:solidFill>
            </a:rPr>
            <a:t>-2</a:t>
          </a:r>
          <a:r>
            <a:rPr lang="ru-RU" sz="900" b="0" baseline="0">
              <a:solidFill>
                <a:srgbClr val="00B050"/>
              </a:solidFill>
            </a:rPr>
            <a:t> </a:t>
          </a:r>
          <a:r>
            <a:rPr lang="ru-RU" sz="900" b="0" baseline="0">
              <a:solidFill>
                <a:srgbClr val="FF0000"/>
              </a:solidFill>
            </a:rPr>
            <a:t>8</a:t>
          </a:r>
          <a:endParaRPr lang="ru-BY" sz="1100" b="0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53340</xdr:colOff>
      <xdr:row>82</xdr:row>
      <xdr:rowOff>1</xdr:rowOff>
    </xdr:from>
    <xdr:ext cx="495300" cy="23622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E8312F0A-0BB4-44C7-B696-F8C3FE7528BF}"/>
            </a:ext>
          </a:extLst>
        </xdr:cNvPr>
        <xdr:cNvSpPr txBox="1"/>
      </xdr:nvSpPr>
      <xdr:spPr>
        <a:xfrm>
          <a:off x="4099560" y="13380721"/>
          <a:ext cx="495300" cy="236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900" b="0">
              <a:solidFill>
                <a:srgbClr val="00B050"/>
              </a:solidFill>
            </a:rPr>
            <a:t>0 </a:t>
          </a:r>
          <a:r>
            <a:rPr lang="ru-RU" sz="900" b="0">
              <a:solidFill>
                <a:srgbClr val="FF0000"/>
              </a:solidFill>
            </a:rPr>
            <a:t>2</a:t>
          </a:r>
          <a:endParaRPr lang="ru-BY" sz="1100" b="0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0</xdr:colOff>
      <xdr:row>83</xdr:row>
      <xdr:rowOff>1</xdr:rowOff>
    </xdr:from>
    <xdr:ext cx="464820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18BDEFA8-11AD-4E52-B76A-86EFC7F49ABD}"/>
            </a:ext>
          </a:extLst>
        </xdr:cNvPr>
        <xdr:cNvSpPr txBox="1"/>
      </xdr:nvSpPr>
      <xdr:spPr>
        <a:xfrm>
          <a:off x="5265420" y="15209521"/>
          <a:ext cx="4648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 b="1">
              <a:solidFill>
                <a:sysClr val="windowText" lastClr="000000"/>
              </a:solidFill>
            </a:rPr>
            <a:t>13</a:t>
          </a:r>
          <a:endParaRPr lang="ru-BY" sz="16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7</xdr:col>
      <xdr:colOff>0</xdr:colOff>
      <xdr:row>82</xdr:row>
      <xdr:rowOff>1</xdr:rowOff>
    </xdr:from>
    <xdr:ext cx="525780" cy="233205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B6F30D89-DC3B-4060-B502-4770B024A156}"/>
            </a:ext>
          </a:extLst>
        </xdr:cNvPr>
        <xdr:cNvSpPr txBox="1"/>
      </xdr:nvSpPr>
      <xdr:spPr>
        <a:xfrm>
          <a:off x="4655820" y="13380721"/>
          <a:ext cx="52578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900" b="0">
              <a:solidFill>
                <a:srgbClr val="00B050"/>
              </a:solidFill>
            </a:rPr>
            <a:t>-3 </a:t>
          </a:r>
          <a:r>
            <a:rPr lang="ru-RU" sz="900" b="0">
              <a:solidFill>
                <a:srgbClr val="FF0000"/>
              </a:solidFill>
            </a:rPr>
            <a:t>11</a:t>
          </a:r>
          <a:endParaRPr lang="ru-BY" sz="1100" b="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0</xdr:colOff>
      <xdr:row>83</xdr:row>
      <xdr:rowOff>1</xdr:rowOff>
    </xdr:from>
    <xdr:ext cx="495300" cy="233205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7D3E8322-8C39-41A9-8BC4-8D0F514490DC}"/>
            </a:ext>
          </a:extLst>
        </xdr:cNvPr>
        <xdr:cNvSpPr txBox="1"/>
      </xdr:nvSpPr>
      <xdr:spPr>
        <a:xfrm>
          <a:off x="4655820" y="13563601"/>
          <a:ext cx="4953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900" b="0">
              <a:solidFill>
                <a:srgbClr val="00B050"/>
              </a:solidFill>
            </a:rPr>
            <a:t>-2 </a:t>
          </a:r>
          <a:r>
            <a:rPr lang="ru-RU" sz="900" b="0">
              <a:solidFill>
                <a:srgbClr val="FF0000"/>
              </a:solidFill>
            </a:rPr>
            <a:t>9</a:t>
          </a:r>
          <a:endParaRPr lang="ru-BY" sz="1100" b="0">
            <a:solidFill>
              <a:srgbClr val="FF0000"/>
            </a:solidFill>
          </a:endParaRPr>
        </a:p>
      </xdr:txBody>
    </xdr:sp>
    <xdr:clientData/>
  </xdr:oneCellAnchor>
  <xdr:twoCellAnchor>
    <xdr:from>
      <xdr:col>6</xdr:col>
      <xdr:colOff>167640</xdr:colOff>
      <xdr:row>80</xdr:row>
      <xdr:rowOff>167641</xdr:rowOff>
    </xdr:from>
    <xdr:to>
      <xdr:col>6</xdr:col>
      <xdr:colOff>518160</xdr:colOff>
      <xdr:row>81</xdr:row>
      <xdr:rowOff>167640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76FB068B-624D-4AEB-BC6A-76BF7150F720}"/>
            </a:ext>
          </a:extLst>
        </xdr:cNvPr>
        <xdr:cNvSpPr txBox="1"/>
      </xdr:nvSpPr>
      <xdr:spPr>
        <a:xfrm>
          <a:off x="4213860" y="13182601"/>
          <a:ext cx="350520" cy="1828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i="0">
              <a:solidFill>
                <a:sysClr val="windowText" lastClr="000000"/>
              </a:solidFill>
            </a:rPr>
            <a:t>18</a:t>
          </a:r>
          <a:endParaRPr lang="ru-BY" sz="1100" b="1" i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198120</xdr:colOff>
      <xdr:row>81</xdr:row>
      <xdr:rowOff>167640</xdr:rowOff>
    </xdr:from>
    <xdr:to>
      <xdr:col>8</xdr:col>
      <xdr:colOff>403860</xdr:colOff>
      <xdr:row>83</xdr:row>
      <xdr:rowOff>0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72D40722-5F4D-4455-AECE-838B2872753C}"/>
            </a:ext>
          </a:extLst>
        </xdr:cNvPr>
        <xdr:cNvSpPr txBox="1"/>
      </xdr:nvSpPr>
      <xdr:spPr>
        <a:xfrm>
          <a:off x="5463540" y="13365480"/>
          <a:ext cx="205740" cy="1981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ru-BY" sz="1100" b="1" i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464820</xdr:colOff>
      <xdr:row>85</xdr:row>
      <xdr:rowOff>76200</xdr:rowOff>
    </xdr:from>
    <xdr:to>
      <xdr:col>7</xdr:col>
      <xdr:colOff>99060</xdr:colOff>
      <xdr:row>86</xdr:row>
      <xdr:rowOff>114300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AE21127D-355F-4F68-BB71-ABCD47EDACE1}"/>
            </a:ext>
          </a:extLst>
        </xdr:cNvPr>
        <xdr:cNvSpPr txBox="1"/>
      </xdr:nvSpPr>
      <xdr:spPr>
        <a:xfrm>
          <a:off x="4511040" y="14005560"/>
          <a:ext cx="24384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ru-BY" sz="1100" b="1" i="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8</xdr:col>
      <xdr:colOff>0</xdr:colOff>
      <xdr:row>80</xdr:row>
      <xdr:rowOff>160020</xdr:rowOff>
    </xdr:from>
    <xdr:ext cx="525780" cy="233205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585925F9-E170-471B-819A-AB263F1D9DF4}"/>
            </a:ext>
          </a:extLst>
        </xdr:cNvPr>
        <xdr:cNvSpPr txBox="1"/>
      </xdr:nvSpPr>
      <xdr:spPr>
        <a:xfrm>
          <a:off x="5265420" y="14820900"/>
          <a:ext cx="52578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900" b="0">
              <a:solidFill>
                <a:srgbClr val="00B050"/>
              </a:solidFill>
            </a:rPr>
            <a:t>6 </a:t>
          </a:r>
          <a:r>
            <a:rPr lang="ru-RU" sz="900" b="0">
              <a:solidFill>
                <a:srgbClr val="FF0000"/>
              </a:solidFill>
            </a:rPr>
            <a:t>3</a:t>
          </a:r>
          <a:endParaRPr lang="ru-BY" sz="1100" b="0">
            <a:solidFill>
              <a:srgbClr val="FF0000"/>
            </a:solidFill>
          </a:endParaRPr>
        </a:p>
      </xdr:txBody>
    </xdr:sp>
    <xdr:clientData/>
  </xdr:oneCellAnchor>
  <xdr:twoCellAnchor>
    <xdr:from>
      <xdr:col>5</xdr:col>
      <xdr:colOff>327838</xdr:colOff>
      <xdr:row>101</xdr:row>
      <xdr:rowOff>35442</xdr:rowOff>
    </xdr:from>
    <xdr:to>
      <xdr:col>5</xdr:col>
      <xdr:colOff>327838</xdr:colOff>
      <xdr:row>108</xdr:row>
      <xdr:rowOff>65921</xdr:rowOff>
    </xdr:to>
    <xdr:cxnSp macro="">
      <xdr:nvCxnSpPr>
        <xdr:cNvPr id="73" name="Прямая соединительная линия 72">
          <a:extLst>
            <a:ext uri="{FF2B5EF4-FFF2-40B4-BE49-F238E27FC236}">
              <a16:creationId xmlns:a16="http://schemas.microsoft.com/office/drawing/2014/main" id="{E3C6B55B-5E29-4048-961B-CCA5D4740731}"/>
            </a:ext>
          </a:extLst>
        </xdr:cNvPr>
        <xdr:cNvCxnSpPr/>
      </xdr:nvCxnSpPr>
      <xdr:spPr>
        <a:xfrm>
          <a:off x="3969489" y="18863930"/>
          <a:ext cx="0" cy="1332968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451884</xdr:colOff>
      <xdr:row>106</xdr:row>
      <xdr:rowOff>106326</xdr:rowOff>
    </xdr:from>
    <xdr:to>
      <xdr:col>7</xdr:col>
      <xdr:colOff>0</xdr:colOff>
      <xdr:row>106</xdr:row>
      <xdr:rowOff>106326</xdr:rowOff>
    </xdr:to>
    <xdr:cxnSp macro="">
      <xdr:nvCxnSpPr>
        <xdr:cNvPr id="74" name="Прямая соединительная линия 73">
          <a:extLst>
            <a:ext uri="{FF2B5EF4-FFF2-40B4-BE49-F238E27FC236}">
              <a16:creationId xmlns:a16="http://schemas.microsoft.com/office/drawing/2014/main" id="{4C63866E-01C8-428B-AA5C-60FD31C75F77}"/>
            </a:ext>
          </a:extLst>
        </xdr:cNvPr>
        <xdr:cNvCxnSpPr/>
      </xdr:nvCxnSpPr>
      <xdr:spPr>
        <a:xfrm>
          <a:off x="4704907" y="19865163"/>
          <a:ext cx="15948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106</xdr:row>
      <xdr:rowOff>88605</xdr:rowOff>
    </xdr:from>
    <xdr:to>
      <xdr:col>6</xdr:col>
      <xdr:colOff>150628</xdr:colOff>
      <xdr:row>106</xdr:row>
      <xdr:rowOff>115186</xdr:rowOff>
    </xdr:to>
    <xdr:cxnSp macro="">
      <xdr:nvCxnSpPr>
        <xdr:cNvPr id="87" name="Прямая соединительная линия 86">
          <a:extLst>
            <a:ext uri="{FF2B5EF4-FFF2-40B4-BE49-F238E27FC236}">
              <a16:creationId xmlns:a16="http://schemas.microsoft.com/office/drawing/2014/main" id="{54C96F11-4A42-44FA-88A9-074AB244993F}"/>
            </a:ext>
          </a:extLst>
        </xdr:cNvPr>
        <xdr:cNvCxnSpPr/>
      </xdr:nvCxnSpPr>
      <xdr:spPr>
        <a:xfrm flipH="1" flipV="1">
          <a:off x="0" y="19847442"/>
          <a:ext cx="4403651" cy="26581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478465</xdr:colOff>
      <xdr:row>107</xdr:row>
      <xdr:rowOff>106326</xdr:rowOff>
    </xdr:from>
    <xdr:to>
      <xdr:col>2</xdr:col>
      <xdr:colOff>584791</xdr:colOff>
      <xdr:row>107</xdr:row>
      <xdr:rowOff>106326</xdr:rowOff>
    </xdr:to>
    <xdr:cxnSp macro="">
      <xdr:nvCxnSpPr>
        <xdr:cNvPr id="94" name="Прямая соединительная линия 93">
          <a:extLst>
            <a:ext uri="{FF2B5EF4-FFF2-40B4-BE49-F238E27FC236}">
              <a16:creationId xmlns:a16="http://schemas.microsoft.com/office/drawing/2014/main" id="{57D228BA-44A6-4D28-916C-AE41E5A872A4}"/>
            </a:ext>
          </a:extLst>
        </xdr:cNvPr>
        <xdr:cNvCxnSpPr/>
      </xdr:nvCxnSpPr>
      <xdr:spPr>
        <a:xfrm flipH="1">
          <a:off x="2286000" y="20051233"/>
          <a:ext cx="10632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345558</xdr:colOff>
      <xdr:row>101</xdr:row>
      <xdr:rowOff>8861</xdr:rowOff>
    </xdr:from>
    <xdr:to>
      <xdr:col>3</xdr:col>
      <xdr:colOff>345558</xdr:colOff>
      <xdr:row>108</xdr:row>
      <xdr:rowOff>88604</xdr:rowOff>
    </xdr:to>
    <xdr:cxnSp macro="">
      <xdr:nvCxnSpPr>
        <xdr:cNvPr id="106" name="Прямая соединительная линия 105">
          <a:extLst>
            <a:ext uri="{FF2B5EF4-FFF2-40B4-BE49-F238E27FC236}">
              <a16:creationId xmlns:a16="http://schemas.microsoft.com/office/drawing/2014/main" id="{1081D198-0FC6-4658-8499-6330C5C555D9}"/>
            </a:ext>
          </a:extLst>
        </xdr:cNvPr>
        <xdr:cNvCxnSpPr/>
      </xdr:nvCxnSpPr>
      <xdr:spPr>
        <a:xfrm>
          <a:off x="2764465" y="18837349"/>
          <a:ext cx="0" cy="1382232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469605</xdr:colOff>
      <xdr:row>104</xdr:row>
      <xdr:rowOff>97465</xdr:rowOff>
    </xdr:from>
    <xdr:to>
      <xdr:col>6</xdr:col>
      <xdr:colOff>567070</xdr:colOff>
      <xdr:row>104</xdr:row>
      <xdr:rowOff>106325</xdr:rowOff>
    </xdr:to>
    <xdr:cxnSp macro="">
      <xdr:nvCxnSpPr>
        <xdr:cNvPr id="109" name="Прямая соединительная линия 108">
          <a:extLst>
            <a:ext uri="{FF2B5EF4-FFF2-40B4-BE49-F238E27FC236}">
              <a16:creationId xmlns:a16="http://schemas.microsoft.com/office/drawing/2014/main" id="{EBB2B52E-B1E5-45AD-95E8-2A2F2F954E93}"/>
            </a:ext>
          </a:extLst>
        </xdr:cNvPr>
        <xdr:cNvCxnSpPr/>
      </xdr:nvCxnSpPr>
      <xdr:spPr>
        <a:xfrm flipH="1">
          <a:off x="4722628" y="19484163"/>
          <a:ext cx="97465" cy="88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478465</xdr:colOff>
      <xdr:row>107</xdr:row>
      <xdr:rowOff>106326</xdr:rowOff>
    </xdr:from>
    <xdr:to>
      <xdr:col>4</xdr:col>
      <xdr:colOff>17721</xdr:colOff>
      <xdr:row>107</xdr:row>
      <xdr:rowOff>106326</xdr:rowOff>
    </xdr:to>
    <xdr:cxnSp macro="">
      <xdr:nvCxnSpPr>
        <xdr:cNvPr id="114" name="Прямая соединительная линия 113">
          <a:extLst>
            <a:ext uri="{FF2B5EF4-FFF2-40B4-BE49-F238E27FC236}">
              <a16:creationId xmlns:a16="http://schemas.microsoft.com/office/drawing/2014/main" id="{94CD7918-B789-429F-8BD7-FACBDC01398B}"/>
            </a:ext>
          </a:extLst>
        </xdr:cNvPr>
        <xdr:cNvCxnSpPr/>
      </xdr:nvCxnSpPr>
      <xdr:spPr>
        <a:xfrm flipH="1">
          <a:off x="2897372" y="20051233"/>
          <a:ext cx="15062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558210</xdr:colOff>
      <xdr:row>107</xdr:row>
      <xdr:rowOff>97465</xdr:rowOff>
    </xdr:from>
    <xdr:to>
      <xdr:col>1</xdr:col>
      <xdr:colOff>708837</xdr:colOff>
      <xdr:row>107</xdr:row>
      <xdr:rowOff>106326</xdr:rowOff>
    </xdr:to>
    <xdr:cxnSp macro="">
      <xdr:nvCxnSpPr>
        <xdr:cNvPr id="117" name="Прямая соединительная линия 116">
          <a:extLst>
            <a:ext uri="{FF2B5EF4-FFF2-40B4-BE49-F238E27FC236}">
              <a16:creationId xmlns:a16="http://schemas.microsoft.com/office/drawing/2014/main" id="{7D5F89A1-3CC8-41CC-9463-10F0AAFAFB09}"/>
            </a:ext>
          </a:extLst>
        </xdr:cNvPr>
        <xdr:cNvCxnSpPr/>
      </xdr:nvCxnSpPr>
      <xdr:spPr>
        <a:xfrm flipH="1">
          <a:off x="1648047" y="20042372"/>
          <a:ext cx="150627" cy="886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469605</xdr:colOff>
      <xdr:row>104</xdr:row>
      <xdr:rowOff>124046</xdr:rowOff>
    </xdr:from>
    <xdr:to>
      <xdr:col>7</xdr:col>
      <xdr:colOff>602512</xdr:colOff>
      <xdr:row>104</xdr:row>
      <xdr:rowOff>124046</xdr:rowOff>
    </xdr:to>
    <xdr:cxnSp macro="">
      <xdr:nvCxnSpPr>
        <xdr:cNvPr id="121" name="Прямая соединительная линия 120">
          <a:extLst>
            <a:ext uri="{FF2B5EF4-FFF2-40B4-BE49-F238E27FC236}">
              <a16:creationId xmlns:a16="http://schemas.microsoft.com/office/drawing/2014/main" id="{3B81AA3C-4B05-4975-B775-5C3FC11987D5}"/>
            </a:ext>
          </a:extLst>
        </xdr:cNvPr>
        <xdr:cNvCxnSpPr/>
      </xdr:nvCxnSpPr>
      <xdr:spPr>
        <a:xfrm flipH="1">
          <a:off x="5334000" y="19510744"/>
          <a:ext cx="13290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478465</xdr:colOff>
      <xdr:row>101</xdr:row>
      <xdr:rowOff>88605</xdr:rowOff>
    </xdr:from>
    <xdr:to>
      <xdr:col>1</xdr:col>
      <xdr:colOff>496186</xdr:colOff>
      <xdr:row>108</xdr:row>
      <xdr:rowOff>0</xdr:rowOff>
    </xdr:to>
    <xdr:cxnSp macro="">
      <xdr:nvCxnSpPr>
        <xdr:cNvPr id="125" name="Прямая соединительная линия 124">
          <a:extLst>
            <a:ext uri="{FF2B5EF4-FFF2-40B4-BE49-F238E27FC236}">
              <a16:creationId xmlns:a16="http://schemas.microsoft.com/office/drawing/2014/main" id="{E6627073-13FC-42FC-B872-B433910BD716}"/>
            </a:ext>
          </a:extLst>
        </xdr:cNvPr>
        <xdr:cNvCxnSpPr/>
      </xdr:nvCxnSpPr>
      <xdr:spPr>
        <a:xfrm flipH="1">
          <a:off x="1568302" y="18917093"/>
          <a:ext cx="17721" cy="1213884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443023</xdr:colOff>
      <xdr:row>108</xdr:row>
      <xdr:rowOff>97465</xdr:rowOff>
    </xdr:from>
    <xdr:to>
      <xdr:col>3</xdr:col>
      <xdr:colOff>8860</xdr:colOff>
      <xdr:row>108</xdr:row>
      <xdr:rowOff>106325</xdr:rowOff>
    </xdr:to>
    <xdr:cxnSp macro="">
      <xdr:nvCxnSpPr>
        <xdr:cNvPr id="128" name="Прямая соединительная линия 127">
          <a:extLst>
            <a:ext uri="{FF2B5EF4-FFF2-40B4-BE49-F238E27FC236}">
              <a16:creationId xmlns:a16="http://schemas.microsoft.com/office/drawing/2014/main" id="{D83BFF41-8328-475D-9895-DA7FE310E016}"/>
            </a:ext>
          </a:extLst>
        </xdr:cNvPr>
        <xdr:cNvCxnSpPr/>
      </xdr:nvCxnSpPr>
      <xdr:spPr>
        <a:xfrm flipH="1" flipV="1">
          <a:off x="2250558" y="20228442"/>
          <a:ext cx="177209" cy="88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363279</xdr:colOff>
      <xdr:row>101</xdr:row>
      <xdr:rowOff>0</xdr:rowOff>
    </xdr:from>
    <xdr:to>
      <xdr:col>2</xdr:col>
      <xdr:colOff>389860</xdr:colOff>
      <xdr:row>108</xdr:row>
      <xdr:rowOff>97465</xdr:rowOff>
    </xdr:to>
    <xdr:cxnSp macro="">
      <xdr:nvCxnSpPr>
        <xdr:cNvPr id="132" name="Прямая соединительная линия 131">
          <a:extLst>
            <a:ext uri="{FF2B5EF4-FFF2-40B4-BE49-F238E27FC236}">
              <a16:creationId xmlns:a16="http://schemas.microsoft.com/office/drawing/2014/main" id="{48B6AC63-265D-4474-9ACE-CC2252379A17}"/>
            </a:ext>
          </a:extLst>
        </xdr:cNvPr>
        <xdr:cNvCxnSpPr/>
      </xdr:nvCxnSpPr>
      <xdr:spPr>
        <a:xfrm>
          <a:off x="2170814" y="18828488"/>
          <a:ext cx="26581" cy="1399954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451884</xdr:colOff>
      <xdr:row>105</xdr:row>
      <xdr:rowOff>97466</xdr:rowOff>
    </xdr:from>
    <xdr:to>
      <xdr:col>6</xdr:col>
      <xdr:colOff>602512</xdr:colOff>
      <xdr:row>105</xdr:row>
      <xdr:rowOff>106326</xdr:rowOff>
    </xdr:to>
    <xdr:cxnSp macro="">
      <xdr:nvCxnSpPr>
        <xdr:cNvPr id="136" name="Прямая соединительная линия 135">
          <a:extLst>
            <a:ext uri="{FF2B5EF4-FFF2-40B4-BE49-F238E27FC236}">
              <a16:creationId xmlns:a16="http://schemas.microsoft.com/office/drawing/2014/main" id="{69C91A46-D6DD-4EFF-B192-28A7797971AD}"/>
            </a:ext>
          </a:extLst>
        </xdr:cNvPr>
        <xdr:cNvCxnSpPr/>
      </xdr:nvCxnSpPr>
      <xdr:spPr>
        <a:xfrm flipH="1" flipV="1">
          <a:off x="4704907" y="19670233"/>
          <a:ext cx="150628" cy="88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407581</xdr:colOff>
      <xdr:row>107</xdr:row>
      <xdr:rowOff>106326</xdr:rowOff>
    </xdr:from>
    <xdr:to>
      <xdr:col>4</xdr:col>
      <xdr:colOff>584791</xdr:colOff>
      <xdr:row>107</xdr:row>
      <xdr:rowOff>106326</xdr:rowOff>
    </xdr:to>
    <xdr:cxnSp macro="">
      <xdr:nvCxnSpPr>
        <xdr:cNvPr id="139" name="Прямая соединительная линия 138">
          <a:extLst>
            <a:ext uri="{FF2B5EF4-FFF2-40B4-BE49-F238E27FC236}">
              <a16:creationId xmlns:a16="http://schemas.microsoft.com/office/drawing/2014/main" id="{4972CACC-B16E-41E8-8972-DE0EE606A704}"/>
            </a:ext>
          </a:extLst>
        </xdr:cNvPr>
        <xdr:cNvCxnSpPr/>
      </xdr:nvCxnSpPr>
      <xdr:spPr>
        <a:xfrm flipH="1">
          <a:off x="3437860" y="20051233"/>
          <a:ext cx="17721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105</xdr:row>
      <xdr:rowOff>70884</xdr:rowOff>
    </xdr:from>
    <xdr:to>
      <xdr:col>6</xdr:col>
      <xdr:colOff>124047</xdr:colOff>
      <xdr:row>105</xdr:row>
      <xdr:rowOff>97466</xdr:rowOff>
    </xdr:to>
    <xdr:cxnSp macro="">
      <xdr:nvCxnSpPr>
        <xdr:cNvPr id="143" name="Прямая соединительная линия 142">
          <a:extLst>
            <a:ext uri="{FF2B5EF4-FFF2-40B4-BE49-F238E27FC236}">
              <a16:creationId xmlns:a16="http://schemas.microsoft.com/office/drawing/2014/main" id="{9B7D9128-A51A-4C76-9978-559E19A875E6}"/>
            </a:ext>
          </a:extLst>
        </xdr:cNvPr>
        <xdr:cNvCxnSpPr/>
      </xdr:nvCxnSpPr>
      <xdr:spPr>
        <a:xfrm flipH="1">
          <a:off x="0" y="19643651"/>
          <a:ext cx="4377070" cy="26582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469605</xdr:colOff>
      <xdr:row>105</xdr:row>
      <xdr:rowOff>115186</xdr:rowOff>
    </xdr:from>
    <xdr:to>
      <xdr:col>7</xdr:col>
      <xdr:colOff>584791</xdr:colOff>
      <xdr:row>105</xdr:row>
      <xdr:rowOff>124047</xdr:rowOff>
    </xdr:to>
    <xdr:cxnSp macro="">
      <xdr:nvCxnSpPr>
        <xdr:cNvPr id="146" name="Прямая соединительная линия 145">
          <a:extLst>
            <a:ext uri="{FF2B5EF4-FFF2-40B4-BE49-F238E27FC236}">
              <a16:creationId xmlns:a16="http://schemas.microsoft.com/office/drawing/2014/main" id="{EFBABDA4-0187-4251-99BE-EEA509DD7030}"/>
            </a:ext>
          </a:extLst>
        </xdr:cNvPr>
        <xdr:cNvCxnSpPr/>
      </xdr:nvCxnSpPr>
      <xdr:spPr>
        <a:xfrm flipH="1" flipV="1">
          <a:off x="5334000" y="19687953"/>
          <a:ext cx="115186" cy="886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451884</xdr:colOff>
      <xdr:row>104</xdr:row>
      <xdr:rowOff>115186</xdr:rowOff>
    </xdr:from>
    <xdr:to>
      <xdr:col>9</xdr:col>
      <xdr:colOff>0</xdr:colOff>
      <xdr:row>104</xdr:row>
      <xdr:rowOff>115186</xdr:rowOff>
    </xdr:to>
    <xdr:cxnSp macro="">
      <xdr:nvCxnSpPr>
        <xdr:cNvPr id="149" name="Прямая соединительная линия 148">
          <a:extLst>
            <a:ext uri="{FF2B5EF4-FFF2-40B4-BE49-F238E27FC236}">
              <a16:creationId xmlns:a16="http://schemas.microsoft.com/office/drawing/2014/main" id="{D72ADB54-36E2-418E-810D-30AFE6128AC6}"/>
            </a:ext>
          </a:extLst>
        </xdr:cNvPr>
        <xdr:cNvCxnSpPr/>
      </xdr:nvCxnSpPr>
      <xdr:spPr>
        <a:xfrm flipH="1">
          <a:off x="5927651" y="19501884"/>
          <a:ext cx="15948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4</xdr:col>
      <xdr:colOff>0</xdr:colOff>
      <xdr:row>123</xdr:row>
      <xdr:rowOff>0</xdr:rowOff>
    </xdr:from>
    <xdr:ext cx="472440" cy="233205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10ED43D3-8FEB-4EEB-86B3-E4C982E2E544}"/>
            </a:ext>
          </a:extLst>
        </xdr:cNvPr>
        <xdr:cNvSpPr txBox="1"/>
      </xdr:nvSpPr>
      <xdr:spPr>
        <a:xfrm>
          <a:off x="3030279" y="22922023"/>
          <a:ext cx="47244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900" b="0">
              <a:solidFill>
                <a:srgbClr val="00B050"/>
              </a:solidFill>
            </a:rPr>
            <a:t>-6  </a:t>
          </a:r>
          <a:r>
            <a:rPr lang="ru-RU" sz="900" b="0">
              <a:solidFill>
                <a:srgbClr val="FF0000"/>
              </a:solidFill>
            </a:rPr>
            <a:t>15</a:t>
          </a:r>
          <a:r>
            <a:rPr lang="ru-RU" sz="900" b="0">
              <a:solidFill>
                <a:srgbClr val="00B050"/>
              </a:solidFill>
            </a:rPr>
            <a:t> </a:t>
          </a:r>
          <a:endParaRPr lang="ru-BY" sz="1100" b="0">
            <a:solidFill>
              <a:srgbClr val="00B050"/>
            </a:solidFill>
          </a:endParaRPr>
        </a:p>
      </xdr:txBody>
    </xdr:sp>
    <xdr:clientData/>
  </xdr:oneCellAnchor>
  <xdr:oneCellAnchor>
    <xdr:from>
      <xdr:col>5</xdr:col>
      <xdr:colOff>0</xdr:colOff>
      <xdr:row>121</xdr:row>
      <xdr:rowOff>150629</xdr:rowOff>
    </xdr:from>
    <xdr:ext cx="472440" cy="18607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29D625BE-FD55-49C5-B8A2-4644B1D2BC46}"/>
            </a:ext>
          </a:extLst>
        </xdr:cNvPr>
        <xdr:cNvSpPr txBox="1"/>
      </xdr:nvSpPr>
      <xdr:spPr>
        <a:xfrm>
          <a:off x="3641651" y="22700513"/>
          <a:ext cx="472440" cy="1860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900" b="0">
              <a:solidFill>
                <a:srgbClr val="00B050"/>
              </a:solidFill>
            </a:rPr>
            <a:t>9</a:t>
          </a:r>
          <a:r>
            <a:rPr lang="ru-RU" sz="900" b="0">
              <a:solidFill>
                <a:srgbClr val="00B050"/>
              </a:solidFill>
            </a:rPr>
            <a:t> </a:t>
          </a:r>
          <a:r>
            <a:rPr lang="en-US" sz="900" b="0">
              <a:solidFill>
                <a:srgbClr val="00B050"/>
              </a:solidFill>
            </a:rPr>
            <a:t>-</a:t>
          </a:r>
          <a:r>
            <a:rPr lang="ru-RU" sz="900" b="0">
              <a:solidFill>
                <a:srgbClr val="FF0000"/>
              </a:solidFill>
            </a:rPr>
            <a:t>5</a:t>
          </a:r>
          <a:r>
            <a:rPr lang="en-US" sz="900" b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ysClr val="windowText" lastClr="000000"/>
              </a:solidFill>
            </a:rPr>
            <a:t>+</a:t>
          </a:r>
          <a:r>
            <a:rPr lang="ru-RU" sz="1100" b="1">
              <a:solidFill>
                <a:sysClr val="windowText" lastClr="000000"/>
              </a:solidFill>
            </a:rPr>
            <a:t> </a:t>
          </a:r>
          <a:endParaRPr lang="ru-BY" sz="11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6</xdr:col>
      <xdr:colOff>0</xdr:colOff>
      <xdr:row>123</xdr:row>
      <xdr:rowOff>0</xdr:rowOff>
    </xdr:from>
    <xdr:ext cx="472440" cy="233205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875AC512-6CE3-47E1-9E97-CF55C73DA261}"/>
            </a:ext>
          </a:extLst>
        </xdr:cNvPr>
        <xdr:cNvSpPr txBox="1"/>
      </xdr:nvSpPr>
      <xdr:spPr>
        <a:xfrm>
          <a:off x="4253023" y="22922023"/>
          <a:ext cx="47244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900" b="0">
              <a:solidFill>
                <a:srgbClr val="00B050"/>
              </a:solidFill>
            </a:rPr>
            <a:t>-6  </a:t>
          </a:r>
          <a:r>
            <a:rPr lang="en-US" sz="900" b="0">
              <a:solidFill>
                <a:srgbClr val="FF0000"/>
              </a:solidFill>
            </a:rPr>
            <a:t>14</a:t>
          </a:r>
          <a:r>
            <a:rPr lang="ru-RU" sz="900" b="0">
              <a:solidFill>
                <a:srgbClr val="00B050"/>
              </a:solidFill>
            </a:rPr>
            <a:t> </a:t>
          </a:r>
          <a:endParaRPr lang="ru-BY" sz="1100" b="0">
            <a:solidFill>
              <a:srgbClr val="00B050"/>
            </a:solidFill>
          </a:endParaRPr>
        </a:p>
      </xdr:txBody>
    </xdr:sp>
    <xdr:clientData/>
  </xdr:oneCellAnchor>
  <xdr:oneCellAnchor>
    <xdr:from>
      <xdr:col>8</xdr:col>
      <xdr:colOff>0</xdr:colOff>
      <xdr:row>123</xdr:row>
      <xdr:rowOff>0</xdr:rowOff>
    </xdr:from>
    <xdr:ext cx="472440" cy="233205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C8708FB5-35A2-4F03-AE17-EE0B70F90F6C}"/>
            </a:ext>
          </a:extLst>
        </xdr:cNvPr>
        <xdr:cNvSpPr txBox="1"/>
      </xdr:nvSpPr>
      <xdr:spPr>
        <a:xfrm>
          <a:off x="5475767" y="22922023"/>
          <a:ext cx="47244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900" b="0">
              <a:solidFill>
                <a:srgbClr val="00B050"/>
              </a:solidFill>
            </a:rPr>
            <a:t>-</a:t>
          </a:r>
          <a:r>
            <a:rPr lang="en-US" sz="900" b="0">
              <a:solidFill>
                <a:srgbClr val="00B050"/>
              </a:solidFill>
            </a:rPr>
            <a:t>7</a:t>
          </a:r>
          <a:r>
            <a:rPr lang="ru-RU" sz="900" b="0">
              <a:solidFill>
                <a:srgbClr val="00B050"/>
              </a:solidFill>
            </a:rPr>
            <a:t>  </a:t>
          </a:r>
          <a:r>
            <a:rPr lang="en-US" sz="900" b="0">
              <a:solidFill>
                <a:srgbClr val="FF0000"/>
              </a:solidFill>
            </a:rPr>
            <a:t>7</a:t>
          </a:r>
          <a:r>
            <a:rPr lang="ru-RU" sz="900" b="0">
              <a:solidFill>
                <a:srgbClr val="00B050"/>
              </a:solidFill>
            </a:rPr>
            <a:t> </a:t>
          </a:r>
          <a:endParaRPr lang="ru-BY" sz="1100" b="0">
            <a:solidFill>
              <a:srgbClr val="00B050"/>
            </a:solidFill>
          </a:endParaRPr>
        </a:p>
      </xdr:txBody>
    </xdr:sp>
    <xdr:clientData/>
  </xdr:oneCellAnchor>
  <xdr:oneCellAnchor>
    <xdr:from>
      <xdr:col>7</xdr:col>
      <xdr:colOff>0</xdr:colOff>
      <xdr:row>124</xdr:row>
      <xdr:rowOff>0</xdr:rowOff>
    </xdr:from>
    <xdr:ext cx="472440" cy="233205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E493EA88-42DC-461A-9C86-E00D08E04C2B}"/>
            </a:ext>
          </a:extLst>
        </xdr:cNvPr>
        <xdr:cNvSpPr txBox="1"/>
      </xdr:nvSpPr>
      <xdr:spPr>
        <a:xfrm>
          <a:off x="4864395" y="23108093"/>
          <a:ext cx="47244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900" b="0">
              <a:solidFill>
                <a:srgbClr val="00B050"/>
              </a:solidFill>
            </a:rPr>
            <a:t>-</a:t>
          </a:r>
          <a:r>
            <a:rPr lang="en-US" sz="900" b="0">
              <a:solidFill>
                <a:srgbClr val="00B050"/>
              </a:solidFill>
            </a:rPr>
            <a:t>1</a:t>
          </a:r>
          <a:r>
            <a:rPr lang="ru-RU" sz="900" b="0">
              <a:solidFill>
                <a:srgbClr val="00B050"/>
              </a:solidFill>
            </a:rPr>
            <a:t>  </a:t>
          </a:r>
          <a:r>
            <a:rPr lang="en-US" sz="900" b="0">
              <a:solidFill>
                <a:srgbClr val="FF0000"/>
              </a:solidFill>
            </a:rPr>
            <a:t>2</a:t>
          </a:r>
          <a:endParaRPr lang="ru-BY" sz="1100" b="0">
            <a:solidFill>
              <a:srgbClr val="00B050"/>
            </a:solidFill>
          </a:endParaRPr>
        </a:p>
      </xdr:txBody>
    </xdr:sp>
    <xdr:clientData/>
  </xdr:oneCellAnchor>
  <xdr:oneCellAnchor>
    <xdr:from>
      <xdr:col>8</xdr:col>
      <xdr:colOff>0</xdr:colOff>
      <xdr:row>124</xdr:row>
      <xdr:rowOff>0</xdr:rowOff>
    </xdr:from>
    <xdr:ext cx="472440" cy="233205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2E7DAB75-0E4B-4846-9AE6-279DCD91F4A7}"/>
            </a:ext>
          </a:extLst>
        </xdr:cNvPr>
        <xdr:cNvSpPr txBox="1"/>
      </xdr:nvSpPr>
      <xdr:spPr>
        <a:xfrm>
          <a:off x="5475767" y="23108093"/>
          <a:ext cx="47244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900" b="0">
              <a:solidFill>
                <a:srgbClr val="00B050"/>
              </a:solidFill>
            </a:rPr>
            <a:t>-</a:t>
          </a:r>
          <a:r>
            <a:rPr lang="en-US" sz="900" b="0">
              <a:solidFill>
                <a:srgbClr val="00B050"/>
              </a:solidFill>
            </a:rPr>
            <a:t>8</a:t>
          </a:r>
          <a:r>
            <a:rPr lang="ru-RU" sz="900" b="0">
              <a:solidFill>
                <a:srgbClr val="00B050"/>
              </a:solidFill>
            </a:rPr>
            <a:t>  </a:t>
          </a:r>
          <a:r>
            <a:rPr lang="en-US" sz="900" b="0">
              <a:solidFill>
                <a:srgbClr val="FF0000"/>
              </a:solidFill>
            </a:rPr>
            <a:t>8</a:t>
          </a:r>
          <a:r>
            <a:rPr lang="ru-RU" sz="900" b="0">
              <a:solidFill>
                <a:srgbClr val="00B050"/>
              </a:solidFill>
            </a:rPr>
            <a:t> </a:t>
          </a:r>
          <a:endParaRPr lang="ru-BY" sz="1100" b="0">
            <a:solidFill>
              <a:srgbClr val="00B050"/>
            </a:solidFill>
          </a:endParaRPr>
        </a:p>
      </xdr:txBody>
    </xdr:sp>
    <xdr:clientData/>
  </xdr:oneCellAnchor>
  <xdr:oneCellAnchor>
    <xdr:from>
      <xdr:col>6</xdr:col>
      <xdr:colOff>0</xdr:colOff>
      <xdr:row>124</xdr:row>
      <xdr:rowOff>0</xdr:rowOff>
    </xdr:from>
    <xdr:ext cx="472440" cy="233205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22C381A2-FC32-4C8E-93D4-F41303E02289}"/>
            </a:ext>
          </a:extLst>
        </xdr:cNvPr>
        <xdr:cNvSpPr txBox="1"/>
      </xdr:nvSpPr>
      <xdr:spPr>
        <a:xfrm>
          <a:off x="4253023" y="23108093"/>
          <a:ext cx="47244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900" b="0">
              <a:solidFill>
                <a:srgbClr val="00B050"/>
              </a:solidFill>
            </a:rPr>
            <a:t>-</a:t>
          </a:r>
          <a:r>
            <a:rPr lang="en-US" sz="900" b="0">
              <a:solidFill>
                <a:srgbClr val="00B050"/>
              </a:solidFill>
            </a:rPr>
            <a:t>7</a:t>
          </a:r>
          <a:r>
            <a:rPr lang="ru-RU" sz="900" b="0">
              <a:solidFill>
                <a:srgbClr val="00B050"/>
              </a:solidFill>
            </a:rPr>
            <a:t>  </a:t>
          </a:r>
          <a:r>
            <a:rPr lang="ru-RU" sz="900" b="0">
              <a:solidFill>
                <a:srgbClr val="FF0000"/>
              </a:solidFill>
            </a:rPr>
            <a:t>1</a:t>
          </a:r>
          <a:r>
            <a:rPr lang="en-US" sz="900" b="0">
              <a:solidFill>
                <a:srgbClr val="FF0000"/>
              </a:solidFill>
            </a:rPr>
            <a:t>4</a:t>
          </a:r>
          <a:r>
            <a:rPr lang="ru-RU" sz="900" b="0">
              <a:solidFill>
                <a:srgbClr val="00B050"/>
              </a:solidFill>
            </a:rPr>
            <a:t> </a:t>
          </a:r>
          <a:endParaRPr lang="ru-BY" sz="1100" b="0">
            <a:solidFill>
              <a:srgbClr val="00B050"/>
            </a:solidFill>
          </a:endParaRPr>
        </a:p>
      </xdr:txBody>
    </xdr:sp>
    <xdr:clientData/>
  </xdr:oneCellAnchor>
  <xdr:oneCellAnchor>
    <xdr:from>
      <xdr:col>4</xdr:col>
      <xdr:colOff>0</xdr:colOff>
      <xdr:row>124</xdr:row>
      <xdr:rowOff>0</xdr:rowOff>
    </xdr:from>
    <xdr:ext cx="472440" cy="233205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1D670C1E-1CB8-435A-B1DB-E1FAA7AE216B}"/>
            </a:ext>
          </a:extLst>
        </xdr:cNvPr>
        <xdr:cNvSpPr txBox="1"/>
      </xdr:nvSpPr>
      <xdr:spPr>
        <a:xfrm>
          <a:off x="3030279" y="23108093"/>
          <a:ext cx="472440" cy="233205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900" b="0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-</a:t>
          </a:r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7</a:t>
          </a:r>
          <a:r>
            <a:rPr kumimoji="0" lang="ru-RU" sz="900" b="0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</a:t>
          </a:r>
          <a:r>
            <a:rPr kumimoji="0" lang="ru-RU" sz="9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1</a:t>
          </a:r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3</a:t>
          </a:r>
          <a:r>
            <a:rPr kumimoji="0" lang="ru-RU" sz="900" b="0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</a:t>
          </a:r>
          <a:endParaRPr kumimoji="0" lang="ru-BY" sz="1100" b="0" i="0" u="none" strike="noStrike" kern="0" cap="none" spc="0" normalizeH="0" baseline="0" noProof="0">
            <a:ln>
              <a:noFill/>
            </a:ln>
            <a:solidFill>
              <a:srgbClr val="00B05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twoCellAnchor>
    <xdr:from>
      <xdr:col>5</xdr:col>
      <xdr:colOff>460744</xdr:colOff>
      <xdr:row>122</xdr:row>
      <xdr:rowOff>44304</xdr:rowOff>
    </xdr:from>
    <xdr:to>
      <xdr:col>7</xdr:col>
      <xdr:colOff>318977</xdr:colOff>
      <xdr:row>123</xdr:row>
      <xdr:rowOff>124048</xdr:rowOff>
    </xdr:to>
    <xdr:sp macro="" textlink="">
      <xdr:nvSpPr>
        <xdr:cNvPr id="191" name="Полилиния: фигура 190">
          <a:extLst>
            <a:ext uri="{FF2B5EF4-FFF2-40B4-BE49-F238E27FC236}">
              <a16:creationId xmlns:a16="http://schemas.microsoft.com/office/drawing/2014/main" id="{03EFA913-0EE8-4174-A0DA-9CDB3DA12596}"/>
            </a:ext>
          </a:extLst>
        </xdr:cNvPr>
        <xdr:cNvSpPr/>
      </xdr:nvSpPr>
      <xdr:spPr>
        <a:xfrm>
          <a:off x="4102395" y="22780257"/>
          <a:ext cx="1080977" cy="265814"/>
        </a:xfrm>
        <a:custGeom>
          <a:avLst/>
          <a:gdLst>
            <a:gd name="connsiteX0" fmla="*/ 1251857 w 1260929"/>
            <a:gd name="connsiteY0" fmla="*/ 0 h 371929"/>
            <a:gd name="connsiteX1" fmla="*/ 0 w 1260929"/>
            <a:gd name="connsiteY1" fmla="*/ 9072 h 371929"/>
            <a:gd name="connsiteX2" fmla="*/ 0 w 1260929"/>
            <a:gd name="connsiteY2" fmla="*/ 371929 h 371929"/>
            <a:gd name="connsiteX3" fmla="*/ 1260929 w 1260929"/>
            <a:gd name="connsiteY3" fmla="*/ 362858 h 371929"/>
            <a:gd name="connsiteX4" fmla="*/ 1251857 w 1260929"/>
            <a:gd name="connsiteY4" fmla="*/ 0 h 3719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260929" h="371929">
              <a:moveTo>
                <a:pt x="1251857" y="0"/>
              </a:moveTo>
              <a:lnTo>
                <a:pt x="0" y="9072"/>
              </a:lnTo>
              <a:lnTo>
                <a:pt x="0" y="371929"/>
              </a:lnTo>
              <a:lnTo>
                <a:pt x="1260929" y="362858"/>
              </a:lnTo>
              <a:lnTo>
                <a:pt x="1251857" y="0"/>
              </a:lnTo>
              <a:close/>
            </a:path>
          </a:pathLst>
        </a:custGeom>
        <a:noFill/>
        <a:ln w="6350">
          <a:solidFill>
            <a:sysClr val="windowText" lastClr="00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BY" sz="1100"/>
        </a:p>
      </xdr:txBody>
    </xdr:sp>
    <xdr:clientData/>
  </xdr:twoCellAnchor>
  <xdr:oneCellAnchor>
    <xdr:from>
      <xdr:col>5</xdr:col>
      <xdr:colOff>177209</xdr:colOff>
      <xdr:row>122</xdr:row>
      <xdr:rowOff>97467</xdr:rowOff>
    </xdr:from>
    <xdr:ext cx="389860" cy="248093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8BDD8FED-D236-4086-AD07-C5485C8F82E1}"/>
            </a:ext>
          </a:extLst>
        </xdr:cNvPr>
        <xdr:cNvSpPr txBox="1"/>
      </xdr:nvSpPr>
      <xdr:spPr>
        <a:xfrm>
          <a:off x="3818860" y="22833420"/>
          <a:ext cx="389860" cy="2480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-</a:t>
          </a:r>
          <a:r>
            <a:rPr lang="ru-RU" sz="1600" b="1">
              <a:solidFill>
                <a:sysClr val="windowText" lastClr="000000"/>
              </a:solidFill>
            </a:rPr>
            <a:t> </a:t>
          </a:r>
          <a:endParaRPr lang="ru-BY" sz="16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7</xdr:col>
      <xdr:colOff>256954</xdr:colOff>
      <xdr:row>122</xdr:row>
      <xdr:rowOff>132908</xdr:rowOff>
    </xdr:from>
    <xdr:ext cx="389860" cy="239232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9847F826-C9E2-45EE-B65B-D2F355058776}"/>
            </a:ext>
          </a:extLst>
        </xdr:cNvPr>
        <xdr:cNvSpPr txBox="1"/>
      </xdr:nvSpPr>
      <xdr:spPr>
        <a:xfrm>
          <a:off x="5121349" y="22868861"/>
          <a:ext cx="389860" cy="2392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+</a:t>
          </a:r>
          <a:r>
            <a:rPr lang="ru-RU" sz="1600" b="1">
              <a:solidFill>
                <a:sysClr val="windowText" lastClr="000000"/>
              </a:solidFill>
            </a:rPr>
            <a:t> </a:t>
          </a:r>
          <a:endParaRPr lang="ru-BY" sz="16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7</xdr:col>
      <xdr:colOff>283536</xdr:colOff>
      <xdr:row>121</xdr:row>
      <xdr:rowOff>79745</xdr:rowOff>
    </xdr:from>
    <xdr:ext cx="389860" cy="248093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E8B95633-48B1-4CFB-A938-179277212A18}"/>
            </a:ext>
          </a:extLst>
        </xdr:cNvPr>
        <xdr:cNvSpPr txBox="1"/>
      </xdr:nvSpPr>
      <xdr:spPr>
        <a:xfrm>
          <a:off x="5147931" y="22629629"/>
          <a:ext cx="389860" cy="2480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-</a:t>
          </a:r>
          <a:r>
            <a:rPr lang="ru-RU" sz="1600" b="1">
              <a:solidFill>
                <a:sysClr val="windowText" lastClr="000000"/>
              </a:solidFill>
            </a:rPr>
            <a:t> </a:t>
          </a:r>
          <a:endParaRPr lang="ru-BY" sz="16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472440" cy="233205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03E30CD2-9764-4DA2-9A72-9587EC918B18}"/>
            </a:ext>
          </a:extLst>
        </xdr:cNvPr>
        <xdr:cNvSpPr txBox="1"/>
      </xdr:nvSpPr>
      <xdr:spPr>
        <a:xfrm>
          <a:off x="3030279" y="22922023"/>
          <a:ext cx="47244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900" b="0">
              <a:solidFill>
                <a:srgbClr val="00B050"/>
              </a:solidFill>
            </a:rPr>
            <a:t>-6  </a:t>
          </a:r>
          <a:r>
            <a:rPr lang="ru-RU" sz="900" b="0">
              <a:solidFill>
                <a:srgbClr val="FF0000"/>
              </a:solidFill>
            </a:rPr>
            <a:t>15</a:t>
          </a:r>
          <a:r>
            <a:rPr lang="ru-RU" sz="900" b="0">
              <a:solidFill>
                <a:srgbClr val="00B050"/>
              </a:solidFill>
            </a:rPr>
            <a:t> </a:t>
          </a:r>
          <a:endParaRPr lang="ru-BY" sz="1100" b="0">
            <a:solidFill>
              <a:srgbClr val="00B050"/>
            </a:solidFill>
          </a:endParaRPr>
        </a:p>
      </xdr:txBody>
    </xdr:sp>
    <xdr:clientData/>
  </xdr:oneCellAnchor>
  <xdr:oneCellAnchor>
    <xdr:from>
      <xdr:col>6</xdr:col>
      <xdr:colOff>0</xdr:colOff>
      <xdr:row>132</xdr:row>
      <xdr:rowOff>0</xdr:rowOff>
    </xdr:from>
    <xdr:ext cx="472440" cy="233205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95453E5E-9ECF-497C-B38B-E6C2BE66A98C}"/>
            </a:ext>
          </a:extLst>
        </xdr:cNvPr>
        <xdr:cNvSpPr txBox="1"/>
      </xdr:nvSpPr>
      <xdr:spPr>
        <a:xfrm>
          <a:off x="4253023" y="22922023"/>
          <a:ext cx="47244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900" b="0">
              <a:solidFill>
                <a:srgbClr val="00B050"/>
              </a:solidFill>
            </a:rPr>
            <a:t>-6  </a:t>
          </a:r>
          <a:r>
            <a:rPr lang="en-US" sz="900" b="0">
              <a:solidFill>
                <a:srgbClr val="FF0000"/>
              </a:solidFill>
            </a:rPr>
            <a:t>14</a:t>
          </a:r>
          <a:r>
            <a:rPr lang="ru-RU" sz="900" b="0">
              <a:solidFill>
                <a:srgbClr val="00B050"/>
              </a:solidFill>
            </a:rPr>
            <a:t> </a:t>
          </a:r>
          <a:endParaRPr lang="ru-BY" sz="1100" b="0">
            <a:solidFill>
              <a:srgbClr val="00B050"/>
            </a:solidFill>
          </a:endParaRP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472440" cy="233205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A69A5F16-16DF-40AA-B98B-8621D2E634A1}"/>
            </a:ext>
          </a:extLst>
        </xdr:cNvPr>
        <xdr:cNvSpPr txBox="1"/>
      </xdr:nvSpPr>
      <xdr:spPr>
        <a:xfrm>
          <a:off x="5475767" y="22922023"/>
          <a:ext cx="47244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900" b="0">
              <a:solidFill>
                <a:srgbClr val="00B050"/>
              </a:solidFill>
            </a:rPr>
            <a:t>-</a:t>
          </a:r>
          <a:r>
            <a:rPr lang="en-US" sz="900" b="0">
              <a:solidFill>
                <a:srgbClr val="00B050"/>
              </a:solidFill>
            </a:rPr>
            <a:t>7</a:t>
          </a:r>
          <a:r>
            <a:rPr lang="ru-RU" sz="900" b="0">
              <a:solidFill>
                <a:srgbClr val="00B050"/>
              </a:solidFill>
            </a:rPr>
            <a:t>  </a:t>
          </a:r>
          <a:r>
            <a:rPr lang="en-US" sz="900" b="0">
              <a:solidFill>
                <a:srgbClr val="FF0000"/>
              </a:solidFill>
            </a:rPr>
            <a:t>7</a:t>
          </a:r>
          <a:r>
            <a:rPr lang="ru-RU" sz="900" b="0">
              <a:solidFill>
                <a:srgbClr val="00B050"/>
              </a:solidFill>
            </a:rPr>
            <a:t> </a:t>
          </a:r>
          <a:endParaRPr lang="ru-BY" sz="1100" b="0">
            <a:solidFill>
              <a:srgbClr val="00B050"/>
            </a:solidFill>
          </a:endParaRPr>
        </a:p>
      </xdr:txBody>
    </xdr:sp>
    <xdr:clientData/>
  </xdr:oneCellAnchor>
  <xdr:oneCellAnchor>
    <xdr:from>
      <xdr:col>7</xdr:col>
      <xdr:colOff>0</xdr:colOff>
      <xdr:row>133</xdr:row>
      <xdr:rowOff>0</xdr:rowOff>
    </xdr:from>
    <xdr:ext cx="472440" cy="233205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716AD3F0-CF63-424C-895F-4FA6D02952C6}"/>
            </a:ext>
          </a:extLst>
        </xdr:cNvPr>
        <xdr:cNvSpPr txBox="1"/>
      </xdr:nvSpPr>
      <xdr:spPr>
        <a:xfrm>
          <a:off x="4864395" y="23108093"/>
          <a:ext cx="47244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00" b="0">
              <a:solidFill>
                <a:srgbClr val="00B050"/>
              </a:solidFill>
            </a:rPr>
            <a:t>6</a:t>
          </a:r>
          <a:r>
            <a:rPr lang="ru-RU" sz="900" b="0">
              <a:solidFill>
                <a:srgbClr val="00B050"/>
              </a:solidFill>
            </a:rPr>
            <a:t>  </a:t>
          </a:r>
          <a:r>
            <a:rPr lang="en-US" sz="900" b="0">
              <a:solidFill>
                <a:srgbClr val="FF0000"/>
              </a:solidFill>
            </a:rPr>
            <a:t>-3</a:t>
          </a:r>
          <a:endParaRPr lang="ru-BY" sz="1100" b="0">
            <a:solidFill>
              <a:srgbClr val="00B050"/>
            </a:solidFill>
          </a:endParaRPr>
        </a:p>
      </xdr:txBody>
    </xdr:sp>
    <xdr:clientData/>
  </xdr:oneCellAnchor>
  <xdr:oneCellAnchor>
    <xdr:from>
      <xdr:col>8</xdr:col>
      <xdr:colOff>0</xdr:colOff>
      <xdr:row>133</xdr:row>
      <xdr:rowOff>0</xdr:rowOff>
    </xdr:from>
    <xdr:ext cx="472440" cy="233205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98168AD7-6081-493E-87EB-A07CC55A0721}"/>
            </a:ext>
          </a:extLst>
        </xdr:cNvPr>
        <xdr:cNvSpPr txBox="1"/>
      </xdr:nvSpPr>
      <xdr:spPr>
        <a:xfrm>
          <a:off x="5475767" y="23108093"/>
          <a:ext cx="47244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900" b="0">
              <a:solidFill>
                <a:srgbClr val="00B050"/>
              </a:solidFill>
            </a:rPr>
            <a:t>-</a:t>
          </a:r>
          <a:r>
            <a:rPr lang="en-US" sz="900" b="0">
              <a:solidFill>
                <a:srgbClr val="00B050"/>
              </a:solidFill>
            </a:rPr>
            <a:t>8</a:t>
          </a:r>
          <a:r>
            <a:rPr lang="ru-RU" sz="900" b="0">
              <a:solidFill>
                <a:srgbClr val="00B050"/>
              </a:solidFill>
            </a:rPr>
            <a:t>  </a:t>
          </a:r>
          <a:r>
            <a:rPr lang="en-US" sz="900" b="0">
              <a:solidFill>
                <a:srgbClr val="FF0000"/>
              </a:solidFill>
            </a:rPr>
            <a:t>8</a:t>
          </a:r>
          <a:r>
            <a:rPr lang="ru-RU" sz="900" b="0">
              <a:solidFill>
                <a:srgbClr val="00B050"/>
              </a:solidFill>
            </a:rPr>
            <a:t> </a:t>
          </a:r>
          <a:endParaRPr lang="ru-BY" sz="1100" b="0">
            <a:solidFill>
              <a:srgbClr val="00B050"/>
            </a:solidFill>
          </a:endParaRPr>
        </a:p>
      </xdr:txBody>
    </xdr:sp>
    <xdr:clientData/>
  </xdr:oneCellAnchor>
  <xdr:oneCellAnchor>
    <xdr:from>
      <xdr:col>6</xdr:col>
      <xdr:colOff>0</xdr:colOff>
      <xdr:row>133</xdr:row>
      <xdr:rowOff>0</xdr:rowOff>
    </xdr:from>
    <xdr:ext cx="472440" cy="233205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C64548F2-001D-450F-BDD0-33F29075811B}"/>
            </a:ext>
          </a:extLst>
        </xdr:cNvPr>
        <xdr:cNvSpPr txBox="1"/>
      </xdr:nvSpPr>
      <xdr:spPr>
        <a:xfrm>
          <a:off x="4253023" y="23108093"/>
          <a:ext cx="47244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900" b="0">
              <a:solidFill>
                <a:srgbClr val="00B050"/>
              </a:solidFill>
            </a:rPr>
            <a:t>-</a:t>
          </a:r>
          <a:r>
            <a:rPr lang="en-US" sz="900" b="0">
              <a:solidFill>
                <a:srgbClr val="00B050"/>
              </a:solidFill>
            </a:rPr>
            <a:t>2</a:t>
          </a:r>
          <a:r>
            <a:rPr lang="ru-RU" sz="900" b="0">
              <a:solidFill>
                <a:srgbClr val="00B050"/>
              </a:solidFill>
            </a:rPr>
            <a:t>  </a:t>
          </a:r>
          <a:r>
            <a:rPr lang="en-US" sz="900" b="0">
              <a:solidFill>
                <a:srgbClr val="FF0000"/>
              </a:solidFill>
            </a:rPr>
            <a:t>9</a:t>
          </a:r>
          <a:endParaRPr lang="ru-BY" sz="1100" b="0">
            <a:solidFill>
              <a:srgbClr val="00B050"/>
            </a:solidFill>
          </a:endParaRPr>
        </a:p>
      </xdr:txBody>
    </xdr:sp>
    <xdr:clientData/>
  </xdr:oneCellAnchor>
  <xdr:oneCellAnchor>
    <xdr:from>
      <xdr:col>4</xdr:col>
      <xdr:colOff>0</xdr:colOff>
      <xdr:row>133</xdr:row>
      <xdr:rowOff>0</xdr:rowOff>
    </xdr:from>
    <xdr:ext cx="472440" cy="233205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3E1CD555-8BC9-4A75-957A-9AFFB9E393AB}"/>
            </a:ext>
          </a:extLst>
        </xdr:cNvPr>
        <xdr:cNvSpPr txBox="1"/>
      </xdr:nvSpPr>
      <xdr:spPr>
        <a:xfrm>
          <a:off x="3030279" y="23108093"/>
          <a:ext cx="472440" cy="233205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900" b="0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-</a:t>
          </a:r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2</a:t>
          </a:r>
          <a:r>
            <a:rPr kumimoji="0" lang="ru-RU" sz="900" b="0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</a:t>
          </a:r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8</a:t>
          </a:r>
          <a:endParaRPr kumimoji="0" lang="ru-BY" sz="1100" b="0" i="0" u="none" strike="noStrike" kern="0" cap="none" spc="0" normalizeH="0" baseline="0" noProof="0">
            <a:ln>
              <a:noFill/>
            </a:ln>
            <a:solidFill>
              <a:srgbClr val="00B05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5</xdr:col>
      <xdr:colOff>97464</xdr:colOff>
      <xdr:row>132</xdr:row>
      <xdr:rowOff>97468</xdr:rowOff>
    </xdr:from>
    <xdr:ext cx="389860" cy="248093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D301ED9C-AFFC-4A12-BED6-1C8411A5E999}"/>
            </a:ext>
          </a:extLst>
        </xdr:cNvPr>
        <xdr:cNvSpPr txBox="1"/>
      </xdr:nvSpPr>
      <xdr:spPr>
        <a:xfrm>
          <a:off x="3739115" y="24694119"/>
          <a:ext cx="389860" cy="2480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-</a:t>
          </a:r>
          <a:r>
            <a:rPr lang="ru-RU" sz="1600" b="1">
              <a:solidFill>
                <a:sysClr val="windowText" lastClr="000000"/>
              </a:solidFill>
            </a:rPr>
            <a:t> </a:t>
          </a:r>
          <a:endParaRPr lang="ru-BY" sz="16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5</xdr:col>
      <xdr:colOff>97466</xdr:colOff>
      <xdr:row>130</xdr:row>
      <xdr:rowOff>79745</xdr:rowOff>
    </xdr:from>
    <xdr:ext cx="389860" cy="239232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688E0CF2-4DE1-4057-BA01-5EC682342D50}"/>
            </a:ext>
          </a:extLst>
        </xdr:cNvPr>
        <xdr:cNvSpPr txBox="1"/>
      </xdr:nvSpPr>
      <xdr:spPr>
        <a:xfrm>
          <a:off x="3739117" y="24304257"/>
          <a:ext cx="389860" cy="2392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+</a:t>
          </a:r>
          <a:r>
            <a:rPr lang="ru-RU" sz="1600" b="1">
              <a:solidFill>
                <a:sysClr val="windowText" lastClr="000000"/>
              </a:solidFill>
            </a:rPr>
            <a:t> </a:t>
          </a:r>
          <a:endParaRPr lang="ru-BY" sz="16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7</xdr:col>
      <xdr:colOff>256954</xdr:colOff>
      <xdr:row>130</xdr:row>
      <xdr:rowOff>79745</xdr:rowOff>
    </xdr:from>
    <xdr:ext cx="389860" cy="248093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FF856822-9270-417F-84EE-98B0C5D9F72C}"/>
            </a:ext>
          </a:extLst>
        </xdr:cNvPr>
        <xdr:cNvSpPr txBox="1"/>
      </xdr:nvSpPr>
      <xdr:spPr>
        <a:xfrm>
          <a:off x="5121349" y="24304257"/>
          <a:ext cx="389860" cy="2480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-</a:t>
          </a:r>
          <a:r>
            <a:rPr lang="ru-RU" sz="1600" b="1">
              <a:solidFill>
                <a:sysClr val="windowText" lastClr="000000"/>
              </a:solidFill>
            </a:rPr>
            <a:t> </a:t>
          </a:r>
          <a:endParaRPr lang="ru-BY" sz="16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5</xdr:col>
      <xdr:colOff>0</xdr:colOff>
      <xdr:row>132</xdr:row>
      <xdr:rowOff>0</xdr:rowOff>
    </xdr:from>
    <xdr:ext cx="472440" cy="233205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C7B10815-2E5D-4DB8-BF5B-875A1326455F}"/>
            </a:ext>
          </a:extLst>
        </xdr:cNvPr>
        <xdr:cNvSpPr txBox="1"/>
      </xdr:nvSpPr>
      <xdr:spPr>
        <a:xfrm>
          <a:off x="3641651" y="24596651"/>
          <a:ext cx="47244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900" b="0">
              <a:solidFill>
                <a:srgbClr val="00B050"/>
              </a:solidFill>
            </a:rPr>
            <a:t>-</a:t>
          </a:r>
          <a:r>
            <a:rPr lang="en-US" sz="900" b="0">
              <a:solidFill>
                <a:srgbClr val="00B050"/>
              </a:solidFill>
            </a:rPr>
            <a:t>3</a:t>
          </a:r>
          <a:r>
            <a:rPr lang="ru-RU" sz="900" b="0">
              <a:solidFill>
                <a:srgbClr val="00B050"/>
              </a:solidFill>
            </a:rPr>
            <a:t>  </a:t>
          </a:r>
          <a:r>
            <a:rPr lang="en-US" sz="900" b="0">
              <a:solidFill>
                <a:srgbClr val="FF0000"/>
              </a:solidFill>
            </a:rPr>
            <a:t>5</a:t>
          </a:r>
          <a:endParaRPr lang="ru-BY" sz="1100" b="0">
            <a:solidFill>
              <a:srgbClr val="00B050"/>
            </a:solidFill>
          </a:endParaRPr>
        </a:p>
      </xdr:txBody>
    </xdr:sp>
    <xdr:clientData/>
  </xdr:oneCellAnchor>
  <xdr:twoCellAnchor>
    <xdr:from>
      <xdr:col>5</xdr:col>
      <xdr:colOff>292395</xdr:colOff>
      <xdr:row>131</xdr:row>
      <xdr:rowOff>62024</xdr:rowOff>
    </xdr:from>
    <xdr:to>
      <xdr:col>7</xdr:col>
      <xdr:colOff>274675</xdr:colOff>
      <xdr:row>133</xdr:row>
      <xdr:rowOff>88605</xdr:rowOff>
    </xdr:to>
    <xdr:sp macro="" textlink="">
      <xdr:nvSpPr>
        <xdr:cNvPr id="208" name="Полилиния: фигура 207">
          <a:extLst>
            <a:ext uri="{FF2B5EF4-FFF2-40B4-BE49-F238E27FC236}">
              <a16:creationId xmlns:a16="http://schemas.microsoft.com/office/drawing/2014/main" id="{83619C54-E5B3-4B64-8B12-4B9D4B0F9A0E}"/>
            </a:ext>
          </a:extLst>
        </xdr:cNvPr>
        <xdr:cNvSpPr/>
      </xdr:nvSpPr>
      <xdr:spPr>
        <a:xfrm>
          <a:off x="3934046" y="24472605"/>
          <a:ext cx="1205024" cy="398721"/>
        </a:xfrm>
        <a:custGeom>
          <a:avLst/>
          <a:gdLst>
            <a:gd name="connsiteX0" fmla="*/ 1251857 w 1260929"/>
            <a:gd name="connsiteY0" fmla="*/ 0 h 371929"/>
            <a:gd name="connsiteX1" fmla="*/ 0 w 1260929"/>
            <a:gd name="connsiteY1" fmla="*/ 9072 h 371929"/>
            <a:gd name="connsiteX2" fmla="*/ 0 w 1260929"/>
            <a:gd name="connsiteY2" fmla="*/ 371929 h 371929"/>
            <a:gd name="connsiteX3" fmla="*/ 1260929 w 1260929"/>
            <a:gd name="connsiteY3" fmla="*/ 362858 h 371929"/>
            <a:gd name="connsiteX4" fmla="*/ 1251857 w 1260929"/>
            <a:gd name="connsiteY4" fmla="*/ 0 h 3719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260929" h="371929">
              <a:moveTo>
                <a:pt x="1251857" y="0"/>
              </a:moveTo>
              <a:lnTo>
                <a:pt x="0" y="9072"/>
              </a:lnTo>
              <a:lnTo>
                <a:pt x="0" y="371929"/>
              </a:lnTo>
              <a:lnTo>
                <a:pt x="1260929" y="362858"/>
              </a:lnTo>
              <a:lnTo>
                <a:pt x="1251857" y="0"/>
              </a:lnTo>
              <a:close/>
            </a:path>
          </a:pathLst>
        </a:custGeom>
        <a:noFill/>
        <a:ln w="6350">
          <a:solidFill>
            <a:sysClr val="windowText" lastClr="00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BY" sz="1100"/>
        </a:p>
      </xdr:txBody>
    </xdr:sp>
    <xdr:clientData/>
  </xdr:twoCellAnchor>
  <xdr:oneCellAnchor>
    <xdr:from>
      <xdr:col>7</xdr:col>
      <xdr:colOff>265814</xdr:colOff>
      <xdr:row>132</xdr:row>
      <xdr:rowOff>79745</xdr:rowOff>
    </xdr:from>
    <xdr:ext cx="389860" cy="239232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3001F1BC-66B4-4E3E-A7B8-FA81ABD100D0}"/>
            </a:ext>
          </a:extLst>
        </xdr:cNvPr>
        <xdr:cNvSpPr txBox="1"/>
      </xdr:nvSpPr>
      <xdr:spPr>
        <a:xfrm>
          <a:off x="5130209" y="24676396"/>
          <a:ext cx="389860" cy="2392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+</a:t>
          </a:r>
          <a:r>
            <a:rPr lang="ru-RU" sz="1600" b="1">
              <a:solidFill>
                <a:sysClr val="windowText" lastClr="000000"/>
              </a:solidFill>
            </a:rPr>
            <a:t> </a:t>
          </a:r>
          <a:endParaRPr lang="ru-BY" sz="16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472440" cy="233205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C4BE11BA-3EC0-4A87-9976-C22942B62B8F}"/>
            </a:ext>
          </a:extLst>
        </xdr:cNvPr>
        <xdr:cNvSpPr txBox="1"/>
      </xdr:nvSpPr>
      <xdr:spPr>
        <a:xfrm>
          <a:off x="3030279" y="26271279"/>
          <a:ext cx="47244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900" b="0">
              <a:solidFill>
                <a:srgbClr val="00B050"/>
              </a:solidFill>
            </a:rPr>
            <a:t>-</a:t>
          </a:r>
          <a:r>
            <a:rPr lang="en-US" sz="900" b="0">
              <a:solidFill>
                <a:srgbClr val="00B050"/>
              </a:solidFill>
            </a:rPr>
            <a:t>3</a:t>
          </a:r>
          <a:r>
            <a:rPr lang="ru-RU" sz="900" b="0">
              <a:solidFill>
                <a:srgbClr val="00B050"/>
              </a:solidFill>
            </a:rPr>
            <a:t>  </a:t>
          </a:r>
          <a:r>
            <a:rPr lang="ru-RU" sz="900" b="0">
              <a:solidFill>
                <a:srgbClr val="FF0000"/>
              </a:solidFill>
            </a:rPr>
            <a:t>1</a:t>
          </a:r>
          <a:r>
            <a:rPr lang="en-US" sz="900" b="0">
              <a:solidFill>
                <a:srgbClr val="FF0000"/>
              </a:solidFill>
            </a:rPr>
            <a:t>2</a:t>
          </a:r>
          <a:endParaRPr lang="ru-BY" sz="1100" b="0">
            <a:solidFill>
              <a:srgbClr val="00B050"/>
            </a:solidFill>
          </a:endParaRPr>
        </a:p>
      </xdr:txBody>
    </xdr:sp>
    <xdr:clientData/>
  </xdr:oneCellAnchor>
  <xdr:oneCellAnchor>
    <xdr:from>
      <xdr:col>6</xdr:col>
      <xdr:colOff>0</xdr:colOff>
      <xdr:row>141</xdr:row>
      <xdr:rowOff>0</xdr:rowOff>
    </xdr:from>
    <xdr:ext cx="472440" cy="233205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0BE9FA15-EFF7-455D-95C7-CE26ACFFA12A}"/>
            </a:ext>
          </a:extLst>
        </xdr:cNvPr>
        <xdr:cNvSpPr txBox="1"/>
      </xdr:nvSpPr>
      <xdr:spPr>
        <a:xfrm>
          <a:off x="4253023" y="24596651"/>
          <a:ext cx="47244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900" b="0">
              <a:solidFill>
                <a:srgbClr val="00B050"/>
              </a:solidFill>
            </a:rPr>
            <a:t>-</a:t>
          </a:r>
          <a:r>
            <a:rPr lang="en-US" sz="900" b="0">
              <a:solidFill>
                <a:srgbClr val="00B050"/>
              </a:solidFill>
            </a:rPr>
            <a:t>3</a:t>
          </a:r>
          <a:r>
            <a:rPr lang="ru-RU" sz="900" b="0">
              <a:solidFill>
                <a:srgbClr val="00B050"/>
              </a:solidFill>
            </a:rPr>
            <a:t>  </a:t>
          </a:r>
          <a:r>
            <a:rPr lang="en-US" sz="900" b="0">
              <a:solidFill>
                <a:srgbClr val="FF0000"/>
              </a:solidFill>
            </a:rPr>
            <a:t>11</a:t>
          </a:r>
          <a:endParaRPr lang="ru-BY" sz="1100" b="0">
            <a:solidFill>
              <a:srgbClr val="00B050"/>
            </a:solidFill>
          </a:endParaRP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472440" cy="233205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52C383EE-34ED-449B-9295-5CAAB4288C43}"/>
            </a:ext>
          </a:extLst>
        </xdr:cNvPr>
        <xdr:cNvSpPr txBox="1"/>
      </xdr:nvSpPr>
      <xdr:spPr>
        <a:xfrm>
          <a:off x="5475767" y="24596651"/>
          <a:ext cx="47244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900" b="0">
              <a:solidFill>
                <a:srgbClr val="00B050"/>
              </a:solidFill>
            </a:rPr>
            <a:t>-</a:t>
          </a:r>
          <a:r>
            <a:rPr lang="en-US" sz="900" b="0">
              <a:solidFill>
                <a:srgbClr val="00B050"/>
              </a:solidFill>
            </a:rPr>
            <a:t>7</a:t>
          </a:r>
          <a:r>
            <a:rPr lang="ru-RU" sz="900" b="0">
              <a:solidFill>
                <a:srgbClr val="00B050"/>
              </a:solidFill>
            </a:rPr>
            <a:t>  </a:t>
          </a:r>
          <a:r>
            <a:rPr lang="en-US" sz="900" b="0">
              <a:solidFill>
                <a:srgbClr val="FF0000"/>
              </a:solidFill>
            </a:rPr>
            <a:t>7</a:t>
          </a:r>
          <a:r>
            <a:rPr lang="ru-RU" sz="900" b="0">
              <a:solidFill>
                <a:srgbClr val="00B050"/>
              </a:solidFill>
            </a:rPr>
            <a:t> </a:t>
          </a:r>
          <a:endParaRPr lang="ru-BY" sz="1100" b="0">
            <a:solidFill>
              <a:srgbClr val="00B050"/>
            </a:solidFill>
          </a:endParaRPr>
        </a:p>
      </xdr:txBody>
    </xdr:sp>
    <xdr:clientData/>
  </xdr:oneCellAnchor>
  <xdr:oneCellAnchor>
    <xdr:from>
      <xdr:col>8</xdr:col>
      <xdr:colOff>0</xdr:colOff>
      <xdr:row>142</xdr:row>
      <xdr:rowOff>0</xdr:rowOff>
    </xdr:from>
    <xdr:ext cx="472440" cy="233205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DD92FA8B-D53D-485A-B59A-6A847467F32E}"/>
            </a:ext>
          </a:extLst>
        </xdr:cNvPr>
        <xdr:cNvSpPr txBox="1"/>
      </xdr:nvSpPr>
      <xdr:spPr>
        <a:xfrm>
          <a:off x="5475767" y="24782721"/>
          <a:ext cx="47244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900" b="0">
              <a:solidFill>
                <a:srgbClr val="00B050"/>
              </a:solidFill>
            </a:rPr>
            <a:t>-</a:t>
          </a:r>
          <a:r>
            <a:rPr lang="en-US" sz="900" b="0">
              <a:solidFill>
                <a:srgbClr val="00B050"/>
              </a:solidFill>
            </a:rPr>
            <a:t>8</a:t>
          </a:r>
          <a:r>
            <a:rPr lang="ru-RU" sz="900" b="0">
              <a:solidFill>
                <a:srgbClr val="00B050"/>
              </a:solidFill>
            </a:rPr>
            <a:t>  </a:t>
          </a:r>
          <a:r>
            <a:rPr lang="en-US" sz="900" b="0">
              <a:solidFill>
                <a:srgbClr val="FF0000"/>
              </a:solidFill>
            </a:rPr>
            <a:t>8</a:t>
          </a:r>
          <a:r>
            <a:rPr lang="ru-RU" sz="900" b="0">
              <a:solidFill>
                <a:srgbClr val="00B050"/>
              </a:solidFill>
            </a:rPr>
            <a:t> </a:t>
          </a:r>
          <a:endParaRPr lang="ru-BY" sz="1100" b="0">
            <a:solidFill>
              <a:srgbClr val="00B050"/>
            </a:solidFill>
          </a:endParaRPr>
        </a:p>
      </xdr:txBody>
    </xdr:sp>
    <xdr:clientData/>
  </xdr:oneCellAnchor>
  <xdr:oneCellAnchor>
    <xdr:from>
      <xdr:col>6</xdr:col>
      <xdr:colOff>0</xdr:colOff>
      <xdr:row>142</xdr:row>
      <xdr:rowOff>0</xdr:rowOff>
    </xdr:from>
    <xdr:ext cx="472440" cy="233205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1B7EA448-2D97-4326-AFA3-3CE360796841}"/>
            </a:ext>
          </a:extLst>
        </xdr:cNvPr>
        <xdr:cNvSpPr txBox="1"/>
      </xdr:nvSpPr>
      <xdr:spPr>
        <a:xfrm>
          <a:off x="4253023" y="24782721"/>
          <a:ext cx="47244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900" b="0">
              <a:solidFill>
                <a:srgbClr val="00B050"/>
              </a:solidFill>
            </a:rPr>
            <a:t>-</a:t>
          </a:r>
          <a:r>
            <a:rPr lang="en-US" sz="900" b="0">
              <a:solidFill>
                <a:srgbClr val="00B050"/>
              </a:solidFill>
            </a:rPr>
            <a:t>2</a:t>
          </a:r>
          <a:r>
            <a:rPr lang="ru-RU" sz="900" b="0">
              <a:solidFill>
                <a:srgbClr val="00B050"/>
              </a:solidFill>
            </a:rPr>
            <a:t>  </a:t>
          </a:r>
          <a:r>
            <a:rPr lang="en-US" sz="900" b="0">
              <a:solidFill>
                <a:srgbClr val="FF0000"/>
              </a:solidFill>
            </a:rPr>
            <a:t>9</a:t>
          </a:r>
          <a:endParaRPr lang="ru-BY" sz="1100" b="0">
            <a:solidFill>
              <a:srgbClr val="00B050"/>
            </a:solidFill>
          </a:endParaRPr>
        </a:p>
      </xdr:txBody>
    </xdr:sp>
    <xdr:clientData/>
  </xdr:oneCellAnchor>
  <xdr:oneCellAnchor>
    <xdr:from>
      <xdr:col>4</xdr:col>
      <xdr:colOff>0</xdr:colOff>
      <xdr:row>142</xdr:row>
      <xdr:rowOff>0</xdr:rowOff>
    </xdr:from>
    <xdr:ext cx="472440" cy="233205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23E79CC9-FE72-40B1-A792-362E7E871525}"/>
            </a:ext>
          </a:extLst>
        </xdr:cNvPr>
        <xdr:cNvSpPr txBox="1"/>
      </xdr:nvSpPr>
      <xdr:spPr>
        <a:xfrm>
          <a:off x="3030279" y="24782721"/>
          <a:ext cx="472440" cy="233205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900" b="0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-</a:t>
          </a:r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2</a:t>
          </a:r>
          <a:r>
            <a:rPr kumimoji="0" lang="ru-RU" sz="900" b="0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</a:t>
          </a:r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8</a:t>
          </a:r>
          <a:endParaRPr kumimoji="0" lang="ru-BY" sz="1100" b="0" i="0" u="none" strike="noStrike" kern="0" cap="none" spc="0" normalizeH="0" baseline="0" noProof="0">
            <a:ln>
              <a:noFill/>
            </a:ln>
            <a:solidFill>
              <a:srgbClr val="00B05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5</xdr:col>
      <xdr:colOff>0</xdr:colOff>
      <xdr:row>141</xdr:row>
      <xdr:rowOff>0</xdr:rowOff>
    </xdr:from>
    <xdr:ext cx="472440" cy="233205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7FACB65B-C555-409E-A28E-C9AEC3A9597A}"/>
            </a:ext>
          </a:extLst>
        </xdr:cNvPr>
        <xdr:cNvSpPr txBox="1"/>
      </xdr:nvSpPr>
      <xdr:spPr>
        <a:xfrm>
          <a:off x="3641651" y="24596651"/>
          <a:ext cx="47244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00" b="0">
              <a:solidFill>
                <a:srgbClr val="00B050"/>
              </a:solidFill>
            </a:rPr>
            <a:t>0 </a:t>
          </a:r>
          <a:r>
            <a:rPr lang="en-US" sz="900" b="0">
              <a:solidFill>
                <a:srgbClr val="FF0000"/>
              </a:solidFill>
            </a:rPr>
            <a:t>2</a:t>
          </a:r>
          <a:endParaRPr lang="ru-BY" sz="1100" b="0">
            <a:solidFill>
              <a:srgbClr val="00B050"/>
            </a:solidFill>
          </a:endParaRPr>
        </a:p>
      </xdr:txBody>
    </xdr:sp>
    <xdr:clientData/>
  </xdr:oneCellAnchor>
  <xdr:oneCellAnchor>
    <xdr:from>
      <xdr:col>7</xdr:col>
      <xdr:colOff>0</xdr:colOff>
      <xdr:row>140</xdr:row>
      <xdr:rowOff>0</xdr:rowOff>
    </xdr:from>
    <xdr:ext cx="472440" cy="233205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D2DCE4B2-9188-45ED-9D71-76DAF19033B3}"/>
            </a:ext>
          </a:extLst>
        </xdr:cNvPr>
        <xdr:cNvSpPr txBox="1"/>
      </xdr:nvSpPr>
      <xdr:spPr>
        <a:xfrm>
          <a:off x="4864395" y="26085209"/>
          <a:ext cx="47244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00" b="0">
              <a:solidFill>
                <a:srgbClr val="00B050"/>
              </a:solidFill>
            </a:rPr>
            <a:t>6</a:t>
          </a:r>
          <a:r>
            <a:rPr lang="ru-RU" sz="900" b="0">
              <a:solidFill>
                <a:srgbClr val="00B050"/>
              </a:solidFill>
            </a:rPr>
            <a:t>  </a:t>
          </a:r>
          <a:r>
            <a:rPr lang="en-US" sz="900" b="0">
              <a:solidFill>
                <a:srgbClr val="FF0000"/>
              </a:solidFill>
            </a:rPr>
            <a:t>3</a:t>
          </a:r>
          <a:endParaRPr lang="ru-BY" sz="1100" b="0">
            <a:solidFill>
              <a:srgbClr val="00B05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CF72A-683D-4827-864F-9D688243262C}">
  <dimension ref="A1:K33"/>
  <sheetViews>
    <sheetView workbookViewId="0">
      <selection activeCell="H42" sqref="H42"/>
    </sheetView>
  </sheetViews>
  <sheetFormatPr baseColWidth="10" defaultColWidth="8.83203125" defaultRowHeight="15" x14ac:dyDescent="0.2"/>
  <sheetData>
    <row r="1" spans="1:11" ht="18" x14ac:dyDescent="0.2">
      <c r="F1" s="1" t="s">
        <v>0</v>
      </c>
      <c r="G1" s="1"/>
    </row>
    <row r="2" spans="1:11" ht="18" x14ac:dyDescent="0.2">
      <c r="F2" s="1" t="s">
        <v>1</v>
      </c>
      <c r="G2" s="1"/>
    </row>
    <row r="3" spans="1:11" ht="18" x14ac:dyDescent="0.2">
      <c r="F3" s="1" t="s">
        <v>2</v>
      </c>
      <c r="G3" s="1"/>
    </row>
    <row r="4" spans="1:11" ht="18" x14ac:dyDescent="0.2">
      <c r="G4" s="1"/>
    </row>
    <row r="5" spans="1:11" ht="18" x14ac:dyDescent="0.2">
      <c r="F5" s="1" t="s">
        <v>3</v>
      </c>
      <c r="G5" s="1"/>
    </row>
    <row r="6" spans="1:11" ht="18" x14ac:dyDescent="0.2">
      <c r="C6" s="2" t="s">
        <v>4</v>
      </c>
      <c r="G6" s="1"/>
    </row>
    <row r="7" spans="1:11" ht="18" x14ac:dyDescent="0.2">
      <c r="A7" s="1"/>
      <c r="C7" s="1"/>
    </row>
    <row r="8" spans="1:11" ht="18" x14ac:dyDescent="0.2">
      <c r="A8" s="1"/>
    </row>
    <row r="9" spans="1:11" ht="18" x14ac:dyDescent="0.2">
      <c r="A9" s="1"/>
      <c r="C9" s="3"/>
    </row>
    <row r="10" spans="1:11" ht="18" x14ac:dyDescent="0.2">
      <c r="A10" s="1"/>
      <c r="C10" s="3"/>
    </row>
    <row r="11" spans="1:11" ht="18" x14ac:dyDescent="0.2">
      <c r="A11" s="1"/>
      <c r="C11" s="3"/>
    </row>
    <row r="12" spans="1:11" ht="18" x14ac:dyDescent="0.2">
      <c r="A12" s="1"/>
      <c r="C12" s="3"/>
    </row>
    <row r="13" spans="1:11" ht="18" x14ac:dyDescent="0.2">
      <c r="C13" s="4"/>
      <c r="D13" s="1"/>
    </row>
    <row r="14" spans="1:11" ht="18" x14ac:dyDescent="0.2">
      <c r="D14" s="1"/>
      <c r="F14" s="3" t="s">
        <v>8</v>
      </c>
    </row>
    <row r="15" spans="1:11" ht="18" x14ac:dyDescent="0.2">
      <c r="C15" s="3"/>
      <c r="D15" s="1"/>
    </row>
    <row r="16" spans="1:11" ht="18" x14ac:dyDescent="0.2">
      <c r="A16" s="5"/>
      <c r="B16" s="5"/>
      <c r="C16" s="34" t="s">
        <v>10</v>
      </c>
      <c r="D16" s="34"/>
      <c r="E16" s="34"/>
      <c r="F16" s="34"/>
      <c r="G16" s="34"/>
      <c r="H16" s="34"/>
      <c r="I16" s="34"/>
      <c r="J16" s="34"/>
      <c r="K16" s="34"/>
    </row>
    <row r="17" spans="1:11" ht="18" x14ac:dyDescent="0.2">
      <c r="A17" s="1"/>
      <c r="C17" s="4"/>
      <c r="D17" s="6" t="s">
        <v>11</v>
      </c>
      <c r="E17" s="6"/>
      <c r="F17" s="6"/>
      <c r="G17" s="6"/>
      <c r="H17" s="6"/>
      <c r="I17" s="6"/>
      <c r="J17" s="6"/>
    </row>
    <row r="18" spans="1:11" ht="18" x14ac:dyDescent="0.2">
      <c r="A18" s="7"/>
      <c r="C18" s="4"/>
      <c r="E18" s="6"/>
    </row>
    <row r="19" spans="1:11" ht="18" x14ac:dyDescent="0.2">
      <c r="A19" s="7"/>
      <c r="C19" s="4"/>
    </row>
    <row r="20" spans="1:11" ht="18" x14ac:dyDescent="0.2">
      <c r="A20" s="7"/>
      <c r="C20" s="4"/>
    </row>
    <row r="21" spans="1:11" ht="18" x14ac:dyDescent="0.2">
      <c r="A21" s="7"/>
      <c r="C21" s="4"/>
    </row>
    <row r="22" spans="1:11" ht="18" x14ac:dyDescent="0.2">
      <c r="A22" s="8"/>
      <c r="C22" s="4"/>
    </row>
    <row r="23" spans="1:11" ht="18" x14ac:dyDescent="0.2">
      <c r="A23" s="8"/>
      <c r="C23" s="4"/>
    </row>
    <row r="24" spans="1:11" ht="18" x14ac:dyDescent="0.2">
      <c r="C24" s="4"/>
      <c r="K24" s="8"/>
    </row>
    <row r="25" spans="1:11" ht="18" x14ac:dyDescent="0.2">
      <c r="A25" s="7"/>
      <c r="C25" s="4"/>
    </row>
    <row r="26" spans="1:11" ht="18" x14ac:dyDescent="0.2">
      <c r="A26" s="7"/>
      <c r="B26" s="4" t="s">
        <v>5</v>
      </c>
      <c r="I26" s="4" t="s">
        <v>6</v>
      </c>
    </row>
    <row r="27" spans="1:11" ht="18" x14ac:dyDescent="0.2">
      <c r="A27" s="7"/>
      <c r="B27" s="4" t="s">
        <v>7</v>
      </c>
      <c r="I27" s="4" t="s">
        <v>120</v>
      </c>
    </row>
    <row r="28" spans="1:11" ht="18" x14ac:dyDescent="0.2">
      <c r="A28" s="7"/>
      <c r="C28" s="4"/>
      <c r="I28" s="4"/>
    </row>
    <row r="33" spans="5:5" ht="18" x14ac:dyDescent="0.2">
      <c r="E33" s="2" t="s">
        <v>9</v>
      </c>
    </row>
  </sheetData>
  <mergeCells count="1">
    <mergeCell ref="C16:K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97D36-54B0-4CCA-B758-39A1E61202E2}">
  <dimension ref="A16:R154"/>
  <sheetViews>
    <sheetView tabSelected="1" topLeftCell="A88" zoomScale="86" zoomScaleNormal="70" workbookViewId="0">
      <selection activeCell="G157" sqref="G157"/>
    </sheetView>
  </sheetViews>
  <sheetFormatPr baseColWidth="10" defaultColWidth="8.83203125" defaultRowHeight="15" x14ac:dyDescent="0.2"/>
  <cols>
    <col min="1" max="1" width="15.83203125" customWidth="1"/>
    <col min="2" max="2" width="10.5" customWidth="1"/>
    <col min="11" max="11" width="8.83203125" customWidth="1"/>
    <col min="14" max="14" width="33.33203125" customWidth="1"/>
  </cols>
  <sheetData>
    <row r="16" ht="16" thickBot="1" x14ac:dyDescent="0.25"/>
    <row r="17" spans="1:7" x14ac:dyDescent="0.2">
      <c r="A17" s="10" t="s">
        <v>14</v>
      </c>
      <c r="B17" s="12"/>
      <c r="C17" s="12"/>
      <c r="D17" s="12"/>
      <c r="E17" s="12"/>
      <c r="F17" s="12"/>
      <c r="G17" s="13"/>
    </row>
    <row r="18" spans="1:7" x14ac:dyDescent="0.2">
      <c r="A18" s="14"/>
      <c r="B18" s="15" t="s">
        <v>15</v>
      </c>
      <c r="G18" s="16"/>
    </row>
    <row r="19" spans="1:7" x14ac:dyDescent="0.2">
      <c r="A19" s="14"/>
      <c r="B19" s="15" t="s">
        <v>17</v>
      </c>
      <c r="G19" s="16"/>
    </row>
    <row r="20" spans="1:7" x14ac:dyDescent="0.2">
      <c r="A20" s="14"/>
      <c r="B20" s="15" t="s">
        <v>18</v>
      </c>
      <c r="G20" s="16"/>
    </row>
    <row r="21" spans="1:7" x14ac:dyDescent="0.2">
      <c r="A21" s="14"/>
      <c r="B21" s="15" t="s">
        <v>19</v>
      </c>
      <c r="G21" s="16"/>
    </row>
    <row r="22" spans="1:7" x14ac:dyDescent="0.2">
      <c r="A22" s="14"/>
      <c r="B22" s="15"/>
      <c r="G22" s="16"/>
    </row>
    <row r="23" spans="1:7" x14ac:dyDescent="0.2">
      <c r="A23" s="14"/>
      <c r="B23" s="15" t="s">
        <v>16</v>
      </c>
      <c r="G23" s="16"/>
    </row>
    <row r="24" spans="1:7" x14ac:dyDescent="0.2">
      <c r="A24" s="14"/>
      <c r="B24" s="15" t="s">
        <v>20</v>
      </c>
      <c r="G24" s="16"/>
    </row>
    <row r="25" spans="1:7" x14ac:dyDescent="0.2">
      <c r="A25" s="14"/>
      <c r="B25" s="15" t="s">
        <v>21</v>
      </c>
      <c r="G25" s="16"/>
    </row>
    <row r="26" spans="1:7" x14ac:dyDescent="0.2">
      <c r="A26" s="14"/>
      <c r="B26" s="15" t="s">
        <v>22</v>
      </c>
      <c r="G26" s="16"/>
    </row>
    <row r="27" spans="1:7" ht="16" thickBot="1" x14ac:dyDescent="0.25">
      <c r="A27" s="17" t="s">
        <v>23</v>
      </c>
      <c r="B27" s="11"/>
      <c r="C27" s="11"/>
      <c r="D27" s="11"/>
      <c r="E27" s="11"/>
      <c r="F27" s="11"/>
      <c r="G27" s="18"/>
    </row>
    <row r="29" spans="1:7" x14ac:dyDescent="0.2">
      <c r="A29" t="s">
        <v>24</v>
      </c>
    </row>
    <row r="31" spans="1:7" x14ac:dyDescent="0.2">
      <c r="B31" s="35" t="s">
        <v>12</v>
      </c>
      <c r="C31" s="36" t="s">
        <v>13</v>
      </c>
      <c r="D31" s="36"/>
      <c r="E31" s="36"/>
      <c r="F31" s="36"/>
    </row>
    <row r="32" spans="1:7" x14ac:dyDescent="0.2">
      <c r="B32" s="35"/>
      <c r="C32" s="9">
        <v>1</v>
      </c>
      <c r="D32" s="9">
        <v>2</v>
      </c>
      <c r="E32" s="9">
        <v>3</v>
      </c>
      <c r="F32" s="9">
        <v>4</v>
      </c>
    </row>
    <row r="33" spans="1:15" x14ac:dyDescent="0.2">
      <c r="B33" s="9">
        <v>1</v>
      </c>
      <c r="C33" s="9">
        <v>1</v>
      </c>
      <c r="D33" s="9">
        <v>4</v>
      </c>
      <c r="E33" s="9">
        <v>1</v>
      </c>
      <c r="F33" s="9">
        <v>9</v>
      </c>
      <c r="G33" s="20">
        <v>60</v>
      </c>
    </row>
    <row r="34" spans="1:15" x14ac:dyDescent="0.2">
      <c r="B34" s="9">
        <v>2</v>
      </c>
      <c r="C34" s="9">
        <v>9</v>
      </c>
      <c r="D34" s="9">
        <v>2</v>
      </c>
      <c r="E34" s="9">
        <v>8</v>
      </c>
      <c r="F34" s="9">
        <v>2</v>
      </c>
      <c r="G34" s="20">
        <v>20</v>
      </c>
    </row>
    <row r="35" spans="1:15" x14ac:dyDescent="0.2">
      <c r="B35" s="9">
        <v>3</v>
      </c>
      <c r="C35" s="21">
        <v>6</v>
      </c>
      <c r="D35" s="21">
        <v>1</v>
      </c>
      <c r="E35" s="21">
        <v>7</v>
      </c>
      <c r="F35" s="21">
        <v>3</v>
      </c>
      <c r="G35" s="20">
        <v>20</v>
      </c>
    </row>
    <row r="36" spans="1:15" x14ac:dyDescent="0.2">
      <c r="C36" s="22">
        <v>15</v>
      </c>
      <c r="D36" s="22">
        <v>25</v>
      </c>
      <c r="E36" s="22">
        <v>27</v>
      </c>
      <c r="F36" s="22">
        <v>33</v>
      </c>
      <c r="G36" s="20">
        <v>100</v>
      </c>
    </row>
    <row r="38" spans="1:15" x14ac:dyDescent="0.2">
      <c r="A38" t="s">
        <v>25</v>
      </c>
    </row>
    <row r="39" spans="1:15" x14ac:dyDescent="0.2">
      <c r="M39">
        <v>1</v>
      </c>
      <c r="N39" t="s">
        <v>35</v>
      </c>
    </row>
    <row r="40" spans="1:15" x14ac:dyDescent="0.2">
      <c r="B40" s="35" t="s">
        <v>12</v>
      </c>
      <c r="C40" s="36" t="s">
        <v>13</v>
      </c>
      <c r="D40" s="36"/>
      <c r="E40" s="36"/>
      <c r="F40" s="36"/>
      <c r="N40" t="s">
        <v>32</v>
      </c>
    </row>
    <row r="41" spans="1:15" x14ac:dyDescent="0.2">
      <c r="B41" s="35"/>
      <c r="C41" s="9">
        <v>1</v>
      </c>
      <c r="D41" s="9">
        <v>2</v>
      </c>
      <c r="E41" s="9">
        <v>3</v>
      </c>
      <c r="F41" s="9">
        <v>4</v>
      </c>
      <c r="G41" t="s">
        <v>27</v>
      </c>
      <c r="N41" t="s">
        <v>34</v>
      </c>
      <c r="O41" t="s">
        <v>50</v>
      </c>
    </row>
    <row r="42" spans="1:15" x14ac:dyDescent="0.2">
      <c r="B42" s="9">
        <v>1</v>
      </c>
      <c r="C42" s="9">
        <v>1</v>
      </c>
      <c r="D42" s="9">
        <v>4</v>
      </c>
      <c r="E42" s="9">
        <v>1</v>
      </c>
      <c r="F42" s="19">
        <v>9</v>
      </c>
      <c r="G42">
        <v>60</v>
      </c>
      <c r="H42">
        <v>45</v>
      </c>
      <c r="I42">
        <v>18</v>
      </c>
      <c r="M42">
        <v>2</v>
      </c>
      <c r="N42" t="s">
        <v>31</v>
      </c>
    </row>
    <row r="43" spans="1:15" x14ac:dyDescent="0.2">
      <c r="B43" s="9">
        <v>2</v>
      </c>
      <c r="C43" s="9">
        <v>9</v>
      </c>
      <c r="D43" s="9">
        <v>2</v>
      </c>
      <c r="E43" s="9">
        <v>8</v>
      </c>
      <c r="F43" s="19">
        <v>2</v>
      </c>
      <c r="G43">
        <v>20</v>
      </c>
      <c r="H43">
        <v>15</v>
      </c>
      <c r="N43" t="s">
        <v>36</v>
      </c>
    </row>
    <row r="44" spans="1:15" x14ac:dyDescent="0.2">
      <c r="B44" s="9">
        <v>3</v>
      </c>
      <c r="C44" s="21">
        <v>6</v>
      </c>
      <c r="D44" s="21">
        <v>1</v>
      </c>
      <c r="E44" s="21">
        <v>7</v>
      </c>
      <c r="F44" s="21">
        <v>3</v>
      </c>
      <c r="G44" s="20">
        <v>20</v>
      </c>
      <c r="N44" t="s">
        <v>37</v>
      </c>
      <c r="O44" t="s">
        <v>38</v>
      </c>
    </row>
    <row r="45" spans="1:15" x14ac:dyDescent="0.2">
      <c r="B45" t="s">
        <v>28</v>
      </c>
      <c r="C45" s="22">
        <v>15</v>
      </c>
      <c r="D45" s="22">
        <v>25</v>
      </c>
      <c r="E45" s="22">
        <v>27</v>
      </c>
      <c r="F45" s="22">
        <v>33</v>
      </c>
      <c r="M45">
        <v>3</v>
      </c>
      <c r="N45" t="s">
        <v>39</v>
      </c>
    </row>
    <row r="46" spans="1:15" x14ac:dyDescent="0.2">
      <c r="D46">
        <v>5</v>
      </c>
      <c r="F46">
        <v>18</v>
      </c>
      <c r="N46" t="s">
        <v>26</v>
      </c>
    </row>
    <row r="47" spans="1:15" x14ac:dyDescent="0.2">
      <c r="N47" t="s">
        <v>30</v>
      </c>
      <c r="O47" t="s">
        <v>41</v>
      </c>
    </row>
    <row r="48" spans="1:15" x14ac:dyDescent="0.2">
      <c r="A48" t="s">
        <v>49</v>
      </c>
      <c r="M48">
        <v>4</v>
      </c>
      <c r="N48" t="s">
        <v>40</v>
      </c>
    </row>
    <row r="49" spans="1:15" x14ac:dyDescent="0.2">
      <c r="N49" t="s">
        <v>42</v>
      </c>
    </row>
    <row r="50" spans="1:15" x14ac:dyDescent="0.2">
      <c r="N50" t="s">
        <v>33</v>
      </c>
      <c r="O50" t="s">
        <v>43</v>
      </c>
    </row>
    <row r="51" spans="1:15" ht="14.5" customHeight="1" x14ac:dyDescent="0.2">
      <c r="B51" s="35" t="s">
        <v>12</v>
      </c>
      <c r="C51" s="36" t="s">
        <v>13</v>
      </c>
      <c r="D51" s="36"/>
      <c r="E51" s="36"/>
      <c r="F51" s="36"/>
      <c r="M51">
        <v>5</v>
      </c>
      <c r="N51" t="s">
        <v>44</v>
      </c>
      <c r="O51" t="s">
        <v>29</v>
      </c>
    </row>
    <row r="52" spans="1:15" x14ac:dyDescent="0.2">
      <c r="B52" s="35"/>
      <c r="C52" s="9">
        <v>1</v>
      </c>
      <c r="D52" s="9">
        <v>2</v>
      </c>
      <c r="E52" s="9">
        <v>3</v>
      </c>
      <c r="F52" s="9">
        <v>4</v>
      </c>
      <c r="N52" t="s">
        <v>45</v>
      </c>
    </row>
    <row r="53" spans="1:15" x14ac:dyDescent="0.2">
      <c r="B53" s="9">
        <v>1</v>
      </c>
      <c r="C53" s="9">
        <v>1</v>
      </c>
      <c r="D53" s="9">
        <v>4</v>
      </c>
      <c r="E53" s="9">
        <v>1</v>
      </c>
      <c r="F53" s="9">
        <v>9</v>
      </c>
      <c r="G53" s="20">
        <v>60</v>
      </c>
      <c r="N53" t="s">
        <v>46</v>
      </c>
      <c r="O53" t="s">
        <v>47</v>
      </c>
    </row>
    <row r="54" spans="1:15" x14ac:dyDescent="0.2">
      <c r="B54" s="21">
        <v>2</v>
      </c>
      <c r="C54" s="21">
        <v>9</v>
      </c>
      <c r="D54" s="21">
        <v>2</v>
      </c>
      <c r="E54" s="21">
        <v>8</v>
      </c>
      <c r="F54" s="21">
        <v>2</v>
      </c>
      <c r="G54" s="20">
        <v>20</v>
      </c>
      <c r="M54">
        <v>6</v>
      </c>
      <c r="N54" t="s">
        <v>48</v>
      </c>
    </row>
    <row r="55" spans="1:15" x14ac:dyDescent="0.2">
      <c r="B55" s="23">
        <v>3</v>
      </c>
      <c r="C55" s="23">
        <v>6</v>
      </c>
      <c r="D55" s="23">
        <v>1</v>
      </c>
      <c r="E55" s="23">
        <v>7</v>
      </c>
      <c r="F55" s="23">
        <v>3</v>
      </c>
      <c r="G55" s="24">
        <v>20</v>
      </c>
    </row>
    <row r="56" spans="1:15" x14ac:dyDescent="0.2">
      <c r="C56">
        <v>15</v>
      </c>
      <c r="D56">
        <v>25</v>
      </c>
      <c r="E56">
        <v>27</v>
      </c>
      <c r="F56">
        <v>33</v>
      </c>
    </row>
    <row r="57" spans="1:15" ht="16" thickBot="1" x14ac:dyDescent="0.25"/>
    <row r="58" spans="1:15" ht="16" thickBot="1" x14ac:dyDescent="0.25">
      <c r="A58" t="s">
        <v>51</v>
      </c>
      <c r="D58" s="25">
        <f>15+27+5*2+15*2+20+18*9</f>
        <v>264</v>
      </c>
    </row>
    <row r="60" spans="1:15" x14ac:dyDescent="0.2">
      <c r="A60" t="s">
        <v>52</v>
      </c>
    </row>
    <row r="61" spans="1:15" x14ac:dyDescent="0.2">
      <c r="A61" t="s">
        <v>68</v>
      </c>
    </row>
    <row r="62" spans="1:15" x14ac:dyDescent="0.2">
      <c r="A62" t="s">
        <v>53</v>
      </c>
      <c r="B62" t="s">
        <v>59</v>
      </c>
      <c r="C62" t="s">
        <v>60</v>
      </c>
      <c r="E62" s="35" t="s">
        <v>12</v>
      </c>
      <c r="F62" s="36" t="s">
        <v>13</v>
      </c>
      <c r="G62" s="36"/>
      <c r="H62" s="36"/>
      <c r="I62" s="36"/>
    </row>
    <row r="63" spans="1:15" x14ac:dyDescent="0.2">
      <c r="A63" t="s">
        <v>54</v>
      </c>
      <c r="C63" t="s">
        <v>61</v>
      </c>
      <c r="E63" s="35"/>
      <c r="F63" s="9">
        <v>1</v>
      </c>
      <c r="G63" s="9">
        <v>2</v>
      </c>
      <c r="H63" s="9">
        <v>3</v>
      </c>
      <c r="I63" s="9">
        <v>4</v>
      </c>
      <c r="K63" t="s">
        <v>66</v>
      </c>
    </row>
    <row r="64" spans="1:15" x14ac:dyDescent="0.2">
      <c r="A64" t="s">
        <v>55</v>
      </c>
      <c r="C64" t="s">
        <v>62</v>
      </c>
      <c r="E64" s="9">
        <v>1</v>
      </c>
      <c r="F64" s="9">
        <v>1</v>
      </c>
      <c r="G64" s="9">
        <v>4</v>
      </c>
      <c r="H64" s="9">
        <v>1</v>
      </c>
      <c r="I64" s="9">
        <v>9</v>
      </c>
      <c r="J64" s="20">
        <v>60</v>
      </c>
      <c r="K64" s="20">
        <v>0</v>
      </c>
      <c r="M64" t="s">
        <v>69</v>
      </c>
    </row>
    <row r="65" spans="1:14" x14ac:dyDescent="0.2">
      <c r="A65" t="s">
        <v>56</v>
      </c>
      <c r="C65" t="s">
        <v>64</v>
      </c>
      <c r="E65" s="21">
        <v>2</v>
      </c>
      <c r="F65" s="21">
        <v>9</v>
      </c>
      <c r="G65" s="21">
        <v>2</v>
      </c>
      <c r="H65" s="21">
        <v>8</v>
      </c>
      <c r="I65" s="21">
        <v>2</v>
      </c>
      <c r="J65" s="20">
        <v>20</v>
      </c>
      <c r="K65" s="20">
        <v>-7</v>
      </c>
      <c r="M65" t="s">
        <v>70</v>
      </c>
    </row>
    <row r="66" spans="1:14" x14ac:dyDescent="0.2">
      <c r="A66" t="s">
        <v>57</v>
      </c>
      <c r="C66" t="s">
        <v>63</v>
      </c>
      <c r="E66" s="23">
        <v>3</v>
      </c>
      <c r="F66" s="23">
        <v>6</v>
      </c>
      <c r="G66" s="23">
        <v>1</v>
      </c>
      <c r="H66" s="23">
        <v>7</v>
      </c>
      <c r="I66" s="23">
        <v>3</v>
      </c>
      <c r="J66" s="24">
        <v>20</v>
      </c>
      <c r="K66" s="24">
        <v>-8</v>
      </c>
      <c r="M66" t="s">
        <v>74</v>
      </c>
      <c r="N66" s="26">
        <f>15+27+162+10+30+20</f>
        <v>264</v>
      </c>
    </row>
    <row r="67" spans="1:14" x14ac:dyDescent="0.2">
      <c r="A67" t="s">
        <v>58</v>
      </c>
      <c r="C67" t="s">
        <v>65</v>
      </c>
      <c r="F67">
        <v>15</v>
      </c>
      <c r="G67">
        <v>25</v>
      </c>
      <c r="H67">
        <v>27</v>
      </c>
      <c r="I67">
        <v>33</v>
      </c>
    </row>
    <row r="68" spans="1:14" x14ac:dyDescent="0.2">
      <c r="E68" t="s">
        <v>67</v>
      </c>
      <c r="F68">
        <v>1</v>
      </c>
      <c r="G68">
        <v>9</v>
      </c>
      <c r="H68">
        <v>1</v>
      </c>
      <c r="I68">
        <v>9</v>
      </c>
    </row>
    <row r="71" spans="1:14" x14ac:dyDescent="0.2">
      <c r="A71" t="s">
        <v>53</v>
      </c>
      <c r="B71" t="s">
        <v>59</v>
      </c>
      <c r="C71" t="s">
        <v>60</v>
      </c>
      <c r="E71" s="35" t="s">
        <v>12</v>
      </c>
      <c r="F71" s="36" t="s">
        <v>13</v>
      </c>
      <c r="G71" s="36"/>
      <c r="H71" s="36"/>
      <c r="I71" s="36"/>
      <c r="M71" t="s">
        <v>72</v>
      </c>
    </row>
    <row r="72" spans="1:14" x14ac:dyDescent="0.2">
      <c r="A72" t="s">
        <v>54</v>
      </c>
      <c r="C72" t="s">
        <v>61</v>
      </c>
      <c r="E72" s="35"/>
      <c r="F72" s="9">
        <v>1</v>
      </c>
      <c r="G72" s="9">
        <v>2</v>
      </c>
      <c r="H72" s="9">
        <v>3</v>
      </c>
      <c r="I72" s="9">
        <v>4</v>
      </c>
      <c r="K72" t="s">
        <v>66</v>
      </c>
      <c r="M72" t="s">
        <v>73</v>
      </c>
    </row>
    <row r="73" spans="1:14" x14ac:dyDescent="0.2">
      <c r="A73" t="s">
        <v>55</v>
      </c>
      <c r="C73" t="s">
        <v>62</v>
      </c>
      <c r="E73" s="9">
        <v>1</v>
      </c>
      <c r="F73" s="9">
        <v>1</v>
      </c>
      <c r="G73" s="9">
        <v>4</v>
      </c>
      <c r="H73" s="9">
        <v>1</v>
      </c>
      <c r="I73" s="9">
        <v>9</v>
      </c>
      <c r="J73" s="20">
        <v>60</v>
      </c>
      <c r="K73" s="20">
        <v>0</v>
      </c>
      <c r="M73" t="s">
        <v>74</v>
      </c>
      <c r="N73" s="26">
        <f>15+20+27+13*9+40+20</f>
        <v>239</v>
      </c>
    </row>
    <row r="74" spans="1:14" x14ac:dyDescent="0.2">
      <c r="A74" t="s">
        <v>71</v>
      </c>
      <c r="C74" t="s">
        <v>64</v>
      </c>
      <c r="E74" s="21">
        <v>2</v>
      </c>
      <c r="F74" s="21">
        <v>9</v>
      </c>
      <c r="G74" s="21">
        <v>2</v>
      </c>
      <c r="H74" s="21">
        <v>8</v>
      </c>
      <c r="I74" s="21">
        <v>2</v>
      </c>
      <c r="J74" s="20">
        <v>20</v>
      </c>
      <c r="K74" s="20">
        <v>-7</v>
      </c>
    </row>
    <row r="75" spans="1:14" x14ac:dyDescent="0.2">
      <c r="A75" t="s">
        <v>57</v>
      </c>
      <c r="C75" t="s">
        <v>63</v>
      </c>
      <c r="E75" s="23">
        <v>3</v>
      </c>
      <c r="F75" s="23">
        <v>6</v>
      </c>
      <c r="G75" s="23">
        <v>1</v>
      </c>
      <c r="H75" s="23">
        <v>7</v>
      </c>
      <c r="I75" s="23">
        <v>3</v>
      </c>
      <c r="J75" s="24">
        <v>20</v>
      </c>
      <c r="K75" s="24">
        <v>-3</v>
      </c>
    </row>
    <row r="76" spans="1:14" x14ac:dyDescent="0.2">
      <c r="A76" t="s">
        <v>58</v>
      </c>
      <c r="C76" t="s">
        <v>65</v>
      </c>
      <c r="F76">
        <v>15</v>
      </c>
      <c r="G76">
        <v>25</v>
      </c>
      <c r="H76">
        <v>27</v>
      </c>
      <c r="I76">
        <v>33</v>
      </c>
    </row>
    <row r="77" spans="1:14" x14ac:dyDescent="0.2">
      <c r="E77" t="s">
        <v>67</v>
      </c>
      <c r="F77">
        <v>1</v>
      </c>
      <c r="G77">
        <v>4</v>
      </c>
      <c r="H77">
        <v>1</v>
      </c>
      <c r="I77">
        <v>9</v>
      </c>
    </row>
    <row r="80" spans="1:14" x14ac:dyDescent="0.2">
      <c r="A80" t="s">
        <v>53</v>
      </c>
      <c r="B80" t="s">
        <v>59</v>
      </c>
      <c r="C80" t="s">
        <v>60</v>
      </c>
      <c r="E80" s="35" t="s">
        <v>12</v>
      </c>
      <c r="F80" s="36" t="s">
        <v>13</v>
      </c>
      <c r="G80" s="36"/>
      <c r="H80" s="36"/>
      <c r="I80" s="36"/>
    </row>
    <row r="81" spans="1:16" x14ac:dyDescent="0.2">
      <c r="A81" t="s">
        <v>54</v>
      </c>
      <c r="C81" t="s">
        <v>61</v>
      </c>
      <c r="E81" s="35"/>
      <c r="F81" s="9">
        <v>1</v>
      </c>
      <c r="G81" s="9">
        <v>2</v>
      </c>
      <c r="H81" s="9">
        <v>3</v>
      </c>
      <c r="I81" s="9">
        <v>4</v>
      </c>
      <c r="K81" t="s">
        <v>66</v>
      </c>
      <c r="N81" s="27"/>
    </row>
    <row r="82" spans="1:16" x14ac:dyDescent="0.2">
      <c r="A82" t="s">
        <v>79</v>
      </c>
      <c r="C82" t="s">
        <v>76</v>
      </c>
      <c r="E82" s="9">
        <v>1</v>
      </c>
      <c r="F82" s="9">
        <v>1</v>
      </c>
      <c r="G82" s="9">
        <v>4</v>
      </c>
      <c r="H82" s="9">
        <v>1</v>
      </c>
      <c r="I82" s="9">
        <v>9</v>
      </c>
      <c r="J82" s="20">
        <v>60</v>
      </c>
      <c r="K82" s="20">
        <v>0</v>
      </c>
      <c r="M82" t="s">
        <v>74</v>
      </c>
      <c r="N82" s="26">
        <f>15+72+27+40+39+7</f>
        <v>200</v>
      </c>
    </row>
    <row r="83" spans="1:16" x14ac:dyDescent="0.2">
      <c r="A83" t="s">
        <v>71</v>
      </c>
      <c r="C83" t="s">
        <v>75</v>
      </c>
      <c r="E83" s="21">
        <v>2</v>
      </c>
      <c r="F83" s="21">
        <v>9</v>
      </c>
      <c r="G83" s="21">
        <v>2</v>
      </c>
      <c r="H83" s="21">
        <v>8</v>
      </c>
      <c r="I83" s="21">
        <v>2</v>
      </c>
      <c r="J83" s="20">
        <v>20</v>
      </c>
      <c r="K83" s="20">
        <v>-4</v>
      </c>
    </row>
    <row r="84" spans="1:16" x14ac:dyDescent="0.2">
      <c r="A84" t="s">
        <v>57</v>
      </c>
      <c r="C84" t="s">
        <v>77</v>
      </c>
      <c r="E84" s="23">
        <v>3</v>
      </c>
      <c r="F84" s="23">
        <v>6</v>
      </c>
      <c r="G84" s="23">
        <v>1</v>
      </c>
      <c r="H84" s="23">
        <v>7</v>
      </c>
      <c r="I84" s="23">
        <v>3</v>
      </c>
      <c r="J84" s="24">
        <v>20</v>
      </c>
      <c r="K84" s="24">
        <v>-3</v>
      </c>
    </row>
    <row r="85" spans="1:16" x14ac:dyDescent="0.2">
      <c r="A85" t="s">
        <v>58</v>
      </c>
      <c r="C85" t="s">
        <v>78</v>
      </c>
      <c r="F85">
        <v>15</v>
      </c>
      <c r="G85">
        <v>25</v>
      </c>
      <c r="H85">
        <v>27</v>
      </c>
      <c r="I85">
        <v>33</v>
      </c>
    </row>
    <row r="86" spans="1:16" x14ac:dyDescent="0.2">
      <c r="E86" t="s">
        <v>67</v>
      </c>
      <c r="F86">
        <v>1</v>
      </c>
      <c r="G86">
        <v>4</v>
      </c>
      <c r="H86">
        <v>1</v>
      </c>
      <c r="I86">
        <v>6</v>
      </c>
    </row>
    <row r="87" spans="1:16" x14ac:dyDescent="0.2">
      <c r="A87" t="s">
        <v>80</v>
      </c>
    </row>
    <row r="89" spans="1:16" x14ac:dyDescent="0.2">
      <c r="A89" t="s">
        <v>81</v>
      </c>
    </row>
    <row r="91" spans="1:16" x14ac:dyDescent="0.2">
      <c r="B91" t="s">
        <v>82</v>
      </c>
      <c r="C91" t="s">
        <v>83</v>
      </c>
      <c r="D91" t="s">
        <v>84</v>
      </c>
      <c r="E91" t="s">
        <v>85</v>
      </c>
      <c r="F91" t="s">
        <v>86</v>
      </c>
      <c r="G91" t="s">
        <v>87</v>
      </c>
      <c r="H91" t="s">
        <v>88</v>
      </c>
      <c r="I91" t="s">
        <v>89</v>
      </c>
      <c r="J91" t="s">
        <v>90</v>
      </c>
      <c r="K91" t="s">
        <v>91</v>
      </c>
      <c r="L91" t="s">
        <v>92</v>
      </c>
      <c r="M91" t="s">
        <v>93</v>
      </c>
      <c r="O91" t="s">
        <v>94</v>
      </c>
    </row>
    <row r="92" spans="1:16" x14ac:dyDescent="0.2">
      <c r="A92" t="s">
        <v>95</v>
      </c>
      <c r="B92" s="30">
        <v>15</v>
      </c>
      <c r="C92" s="30">
        <v>18</v>
      </c>
      <c r="D92" s="30">
        <v>27</v>
      </c>
      <c r="E92" s="30">
        <v>0</v>
      </c>
      <c r="F92" s="30">
        <v>0</v>
      </c>
      <c r="G92" s="30">
        <v>0</v>
      </c>
      <c r="H92" s="30">
        <v>0</v>
      </c>
      <c r="I92" s="30">
        <v>20</v>
      </c>
      <c r="J92" s="30">
        <v>0</v>
      </c>
      <c r="K92" s="30">
        <v>7</v>
      </c>
      <c r="L92" s="30">
        <v>0</v>
      </c>
      <c r="M92" s="30">
        <v>13</v>
      </c>
    </row>
    <row r="93" spans="1:16" x14ac:dyDescent="0.2">
      <c r="A93" t="s">
        <v>96</v>
      </c>
      <c r="B93">
        <v>1</v>
      </c>
      <c r="C93">
        <v>4</v>
      </c>
      <c r="D93">
        <v>1</v>
      </c>
      <c r="E93">
        <v>9</v>
      </c>
      <c r="F93">
        <v>9</v>
      </c>
      <c r="G93">
        <v>2</v>
      </c>
      <c r="H93">
        <v>8</v>
      </c>
      <c r="I93">
        <v>2</v>
      </c>
      <c r="J93">
        <v>6</v>
      </c>
      <c r="K93">
        <v>1</v>
      </c>
      <c r="L93">
        <v>7</v>
      </c>
      <c r="M93">
        <v>3</v>
      </c>
      <c r="N93" s="30">
        <f t="shared" ref="N93:N98" si="0">SUMPRODUCT(B93:M93,$B$92:$M$92)</f>
        <v>200</v>
      </c>
      <c r="O93" s="28" t="s">
        <v>97</v>
      </c>
      <c r="P93" t="s">
        <v>98</v>
      </c>
    </row>
    <row r="94" spans="1:16" x14ac:dyDescent="0.2">
      <c r="A94" t="s">
        <v>99</v>
      </c>
      <c r="B94">
        <v>1</v>
      </c>
      <c r="C94">
        <v>1</v>
      </c>
      <c r="D94">
        <v>1</v>
      </c>
      <c r="E94">
        <v>1</v>
      </c>
      <c r="N94" s="30">
        <f t="shared" si="0"/>
        <v>60</v>
      </c>
      <c r="O94" s="28" t="s">
        <v>100</v>
      </c>
      <c r="P94">
        <v>60</v>
      </c>
    </row>
    <row r="95" spans="1:16" x14ac:dyDescent="0.2">
      <c r="F95">
        <v>1</v>
      </c>
      <c r="G95">
        <v>1</v>
      </c>
      <c r="H95">
        <v>1</v>
      </c>
      <c r="I95">
        <v>1</v>
      </c>
      <c r="N95" s="30">
        <f t="shared" si="0"/>
        <v>20</v>
      </c>
      <c r="O95" s="28" t="s">
        <v>100</v>
      </c>
      <c r="P95">
        <v>20</v>
      </c>
    </row>
    <row r="96" spans="1:16" x14ac:dyDescent="0.2">
      <c r="J96">
        <v>1</v>
      </c>
      <c r="K96">
        <v>1</v>
      </c>
      <c r="L96">
        <v>1</v>
      </c>
      <c r="M96">
        <v>1</v>
      </c>
      <c r="N96" s="30">
        <f t="shared" si="0"/>
        <v>20</v>
      </c>
      <c r="O96" s="28" t="s">
        <v>100</v>
      </c>
      <c r="P96">
        <v>20</v>
      </c>
    </row>
    <row r="97" spans="1:17" x14ac:dyDescent="0.2">
      <c r="B97">
        <v>1</v>
      </c>
      <c r="F97">
        <v>1</v>
      </c>
      <c r="J97">
        <v>1</v>
      </c>
      <c r="N97" s="30">
        <f t="shared" si="0"/>
        <v>15</v>
      </c>
      <c r="O97" s="28" t="s">
        <v>100</v>
      </c>
      <c r="P97">
        <v>15</v>
      </c>
    </row>
    <row r="98" spans="1:17" x14ac:dyDescent="0.2">
      <c r="C98">
        <v>1</v>
      </c>
      <c r="G98">
        <v>1</v>
      </c>
      <c r="K98">
        <v>1</v>
      </c>
      <c r="N98" s="30">
        <f t="shared" si="0"/>
        <v>25</v>
      </c>
      <c r="O98" s="28" t="s">
        <v>100</v>
      </c>
      <c r="P98">
        <v>25</v>
      </c>
    </row>
    <row r="99" spans="1:17" x14ac:dyDescent="0.2">
      <c r="D99">
        <v>1</v>
      </c>
      <c r="H99">
        <v>1</v>
      </c>
      <c r="L99">
        <v>1</v>
      </c>
      <c r="N99" s="30">
        <f t="shared" ref="N99:N100" si="1">SUMPRODUCT(B99:M99,$B$92:$M$92)</f>
        <v>27</v>
      </c>
      <c r="O99" s="28" t="s">
        <v>100</v>
      </c>
      <c r="P99">
        <v>27</v>
      </c>
    </row>
    <row r="100" spans="1:17" x14ac:dyDescent="0.2">
      <c r="E100">
        <v>1</v>
      </c>
      <c r="I100">
        <v>1</v>
      </c>
      <c r="M100">
        <v>1</v>
      </c>
      <c r="N100" s="30">
        <f t="shared" si="1"/>
        <v>33</v>
      </c>
      <c r="O100" s="28" t="s">
        <v>100</v>
      </c>
      <c r="P100">
        <v>33</v>
      </c>
    </row>
    <row r="101" spans="1:17" x14ac:dyDescent="0.2">
      <c r="O101" s="28"/>
    </row>
    <row r="102" spans="1:17" x14ac:dyDescent="0.2">
      <c r="A102" t="s">
        <v>101</v>
      </c>
    </row>
    <row r="103" spans="1:17" x14ac:dyDescent="0.2">
      <c r="A103" s="37" t="s">
        <v>12</v>
      </c>
      <c r="B103" s="38" t="s">
        <v>13</v>
      </c>
      <c r="C103" s="38"/>
      <c r="D103" s="38"/>
      <c r="E103" s="38"/>
      <c r="F103" s="38"/>
      <c r="J103">
        <v>1</v>
      </c>
      <c r="K103" t="s">
        <v>105</v>
      </c>
    </row>
    <row r="104" spans="1:17" x14ac:dyDescent="0.2">
      <c r="A104" s="35"/>
      <c r="B104" s="29">
        <v>1</v>
      </c>
      <c r="C104" s="29">
        <v>2</v>
      </c>
      <c r="D104" s="29">
        <v>3</v>
      </c>
      <c r="E104" s="29">
        <v>4</v>
      </c>
      <c r="F104" s="29">
        <v>5</v>
      </c>
      <c r="K104" t="s">
        <v>106</v>
      </c>
    </row>
    <row r="105" spans="1:17" x14ac:dyDescent="0.2">
      <c r="A105" s="9">
        <v>1</v>
      </c>
      <c r="B105" s="9">
        <v>1</v>
      </c>
      <c r="C105" s="9">
        <v>4</v>
      </c>
      <c r="D105" s="9">
        <v>1</v>
      </c>
      <c r="E105" s="9">
        <v>9</v>
      </c>
      <c r="F105" s="9">
        <v>0</v>
      </c>
      <c r="G105" s="20">
        <v>60</v>
      </c>
      <c r="H105" s="20">
        <v>50</v>
      </c>
      <c r="I105" s="20">
        <v>35</v>
      </c>
      <c r="J105" s="20">
        <v>8</v>
      </c>
      <c r="K105" t="s">
        <v>102</v>
      </c>
      <c r="Q105" t="s">
        <v>107</v>
      </c>
    </row>
    <row r="106" spans="1:17" x14ac:dyDescent="0.2">
      <c r="A106" s="9">
        <v>2</v>
      </c>
      <c r="B106" s="9">
        <v>9</v>
      </c>
      <c r="C106" s="9">
        <v>2</v>
      </c>
      <c r="D106" s="9">
        <v>8</v>
      </c>
      <c r="E106" s="9">
        <v>2</v>
      </c>
      <c r="F106" s="9">
        <v>0</v>
      </c>
      <c r="G106" s="20">
        <v>30</v>
      </c>
      <c r="H106" s="20">
        <v>25</v>
      </c>
      <c r="J106">
        <v>2</v>
      </c>
      <c r="K106" t="s">
        <v>104</v>
      </c>
    </row>
    <row r="107" spans="1:17" x14ac:dyDescent="0.2">
      <c r="A107" s="9">
        <v>3</v>
      </c>
      <c r="B107" s="21">
        <v>6</v>
      </c>
      <c r="C107" s="21">
        <v>1</v>
      </c>
      <c r="D107" s="21">
        <v>7</v>
      </c>
      <c r="E107" s="21">
        <v>3</v>
      </c>
      <c r="F107" s="21">
        <v>0</v>
      </c>
      <c r="G107" s="20">
        <v>20</v>
      </c>
      <c r="K107" t="s">
        <v>36</v>
      </c>
    </row>
    <row r="108" spans="1:17" x14ac:dyDescent="0.2">
      <c r="B108" s="22">
        <v>15</v>
      </c>
      <c r="C108" s="22">
        <v>25</v>
      </c>
      <c r="D108" s="22">
        <v>27</v>
      </c>
      <c r="E108" s="22">
        <v>33</v>
      </c>
      <c r="F108" s="22">
        <v>10</v>
      </c>
      <c r="G108">
        <v>110</v>
      </c>
      <c r="K108" t="s">
        <v>37</v>
      </c>
      <c r="Q108" t="s">
        <v>108</v>
      </c>
    </row>
    <row r="109" spans="1:17" x14ac:dyDescent="0.2">
      <c r="C109">
        <v>5</v>
      </c>
      <c r="E109">
        <v>8</v>
      </c>
      <c r="J109">
        <v>3</v>
      </c>
      <c r="K109" t="s">
        <v>39</v>
      </c>
    </row>
    <row r="110" spans="1:17" x14ac:dyDescent="0.2">
      <c r="A110" t="s">
        <v>103</v>
      </c>
      <c r="K110" t="s">
        <v>26</v>
      </c>
    </row>
    <row r="111" spans="1:17" x14ac:dyDescent="0.2">
      <c r="A111" s="37" t="s">
        <v>12</v>
      </c>
      <c r="B111" s="38" t="s">
        <v>13</v>
      </c>
      <c r="C111" s="38"/>
      <c r="D111" s="38"/>
      <c r="E111" s="38"/>
      <c r="F111" s="38"/>
      <c r="K111" t="s">
        <v>30</v>
      </c>
      <c r="Q111" t="s">
        <v>109</v>
      </c>
    </row>
    <row r="112" spans="1:17" x14ac:dyDescent="0.2">
      <c r="A112" s="35"/>
      <c r="B112" s="29">
        <v>1</v>
      </c>
      <c r="C112" s="29">
        <v>2</v>
      </c>
      <c r="D112" s="29">
        <v>3</v>
      </c>
      <c r="E112" s="29">
        <v>4</v>
      </c>
      <c r="F112" s="29">
        <v>5</v>
      </c>
      <c r="J112">
        <v>4</v>
      </c>
      <c r="K112" t="s">
        <v>110</v>
      </c>
    </row>
    <row r="113" spans="1:17" x14ac:dyDescent="0.2">
      <c r="A113" s="9">
        <v>1</v>
      </c>
      <c r="B113" s="9">
        <v>15</v>
      </c>
      <c r="C113" s="9"/>
      <c r="D113" s="9">
        <v>27</v>
      </c>
      <c r="E113" s="9">
        <v>8</v>
      </c>
      <c r="F113" s="9">
        <v>10</v>
      </c>
      <c r="G113" s="20">
        <v>60</v>
      </c>
      <c r="K113" t="s">
        <v>32</v>
      </c>
    </row>
    <row r="114" spans="1:17" x14ac:dyDescent="0.2">
      <c r="A114" s="9">
        <v>2</v>
      </c>
      <c r="B114" s="9"/>
      <c r="C114" s="9">
        <v>5</v>
      </c>
      <c r="D114" s="9"/>
      <c r="E114" s="9">
        <v>25</v>
      </c>
      <c r="F114" s="9"/>
      <c r="G114" s="20">
        <v>30</v>
      </c>
      <c r="K114" t="s">
        <v>34</v>
      </c>
      <c r="Q114" t="s">
        <v>111</v>
      </c>
    </row>
    <row r="115" spans="1:17" x14ac:dyDescent="0.2">
      <c r="A115" s="9">
        <v>3</v>
      </c>
      <c r="B115" s="21"/>
      <c r="C115" s="21">
        <v>20</v>
      </c>
      <c r="D115" s="21"/>
      <c r="E115" s="21"/>
      <c r="F115" s="21"/>
      <c r="G115" s="20">
        <v>20</v>
      </c>
      <c r="J115">
        <v>5</v>
      </c>
      <c r="K115" t="s">
        <v>40</v>
      </c>
    </row>
    <row r="116" spans="1:17" x14ac:dyDescent="0.2">
      <c r="B116" s="22">
        <v>15</v>
      </c>
      <c r="C116" s="22">
        <v>25</v>
      </c>
      <c r="D116" s="22">
        <v>27</v>
      </c>
      <c r="E116" s="22">
        <v>33</v>
      </c>
      <c r="F116" s="22">
        <v>10</v>
      </c>
      <c r="K116" t="s">
        <v>42</v>
      </c>
    </row>
    <row r="117" spans="1:17" x14ac:dyDescent="0.2">
      <c r="K117" t="s">
        <v>33</v>
      </c>
      <c r="Q117" t="s">
        <v>112</v>
      </c>
    </row>
    <row r="118" spans="1:17" x14ac:dyDescent="0.2">
      <c r="A118" t="s">
        <v>74</v>
      </c>
      <c r="B118" s="26">
        <f>15+27+8*9+10+50+20</f>
        <v>194</v>
      </c>
      <c r="J118">
        <v>6</v>
      </c>
      <c r="K118" t="s">
        <v>44</v>
      </c>
    </row>
    <row r="119" spans="1:17" x14ac:dyDescent="0.2">
      <c r="K119" t="s">
        <v>45</v>
      </c>
    </row>
    <row r="120" spans="1:17" ht="14.5" customHeight="1" x14ac:dyDescent="0.2">
      <c r="A120" t="s">
        <v>53</v>
      </c>
      <c r="B120" t="s">
        <v>59</v>
      </c>
      <c r="C120" t="s">
        <v>60</v>
      </c>
      <c r="K120" t="s">
        <v>46</v>
      </c>
      <c r="Q120" t="s">
        <v>113</v>
      </c>
    </row>
    <row r="121" spans="1:17" ht="14.5" customHeight="1" x14ac:dyDescent="0.2">
      <c r="A121" t="s">
        <v>54</v>
      </c>
      <c r="C121" t="s">
        <v>61</v>
      </c>
      <c r="D121" s="37" t="s">
        <v>12</v>
      </c>
      <c r="E121" s="38" t="s">
        <v>13</v>
      </c>
      <c r="F121" s="38"/>
      <c r="G121" s="38"/>
      <c r="H121" s="38"/>
      <c r="I121" s="38"/>
      <c r="K121" t="s">
        <v>48</v>
      </c>
    </row>
    <row r="122" spans="1:17" x14ac:dyDescent="0.2">
      <c r="A122" t="s">
        <v>55</v>
      </c>
      <c r="C122" t="s">
        <v>62</v>
      </c>
      <c r="D122" s="35"/>
      <c r="E122" s="29">
        <v>1</v>
      </c>
      <c r="F122" s="29">
        <v>2</v>
      </c>
      <c r="G122" s="29">
        <v>3</v>
      </c>
      <c r="H122" s="29">
        <v>4</v>
      </c>
      <c r="I122" s="29">
        <v>5</v>
      </c>
      <c r="K122" t="s">
        <v>66</v>
      </c>
    </row>
    <row r="123" spans="1:17" x14ac:dyDescent="0.2">
      <c r="A123" t="s">
        <v>114</v>
      </c>
      <c r="C123" t="s">
        <v>115</v>
      </c>
      <c r="D123" s="9">
        <v>1</v>
      </c>
      <c r="E123" s="9">
        <v>15</v>
      </c>
      <c r="F123" s="9"/>
      <c r="G123" s="9">
        <v>27</v>
      </c>
      <c r="H123" s="9">
        <v>8</v>
      </c>
      <c r="I123" s="9">
        <v>10</v>
      </c>
      <c r="J123" s="20">
        <v>60</v>
      </c>
      <c r="K123">
        <v>0</v>
      </c>
      <c r="M123" t="s">
        <v>69</v>
      </c>
    </row>
    <row r="124" spans="1:17" x14ac:dyDescent="0.2">
      <c r="A124" t="s">
        <v>56</v>
      </c>
      <c r="C124" t="s">
        <v>63</v>
      </c>
      <c r="D124" s="9">
        <v>2</v>
      </c>
      <c r="E124" s="9"/>
      <c r="F124" s="31">
        <v>5</v>
      </c>
      <c r="G124" s="9"/>
      <c r="H124" s="9">
        <v>25</v>
      </c>
      <c r="I124" s="9"/>
      <c r="J124" s="20">
        <v>30</v>
      </c>
      <c r="K124">
        <v>-7</v>
      </c>
      <c r="M124" t="s">
        <v>70</v>
      </c>
    </row>
    <row r="125" spans="1:17" x14ac:dyDescent="0.2">
      <c r="A125" t="s">
        <v>57</v>
      </c>
      <c r="C125" t="s">
        <v>65</v>
      </c>
      <c r="D125" s="9">
        <v>3</v>
      </c>
      <c r="E125" s="21"/>
      <c r="F125" s="21">
        <v>20</v>
      </c>
      <c r="G125" s="21"/>
      <c r="H125" s="21"/>
      <c r="I125" s="21"/>
      <c r="J125" s="20">
        <v>20</v>
      </c>
      <c r="K125">
        <v>-8</v>
      </c>
    </row>
    <row r="126" spans="1:17" x14ac:dyDescent="0.2">
      <c r="A126" t="s">
        <v>58</v>
      </c>
      <c r="C126" t="s">
        <v>64</v>
      </c>
      <c r="E126" s="22">
        <v>15</v>
      </c>
      <c r="F126" s="22">
        <v>25</v>
      </c>
      <c r="G126" s="22">
        <v>27</v>
      </c>
      <c r="H126" s="22">
        <v>33</v>
      </c>
      <c r="I126" s="22">
        <v>10</v>
      </c>
    </row>
    <row r="127" spans="1:17" x14ac:dyDescent="0.2">
      <c r="D127" t="s">
        <v>67</v>
      </c>
      <c r="E127">
        <v>1</v>
      </c>
      <c r="F127">
        <v>9</v>
      </c>
      <c r="G127">
        <v>1</v>
      </c>
      <c r="H127">
        <v>9</v>
      </c>
      <c r="I127">
        <v>0</v>
      </c>
      <c r="K127" t="s">
        <v>74</v>
      </c>
      <c r="L127" s="26">
        <f>15+27+8*9+10+50+20</f>
        <v>194</v>
      </c>
    </row>
    <row r="130" spans="1:13" x14ac:dyDescent="0.2">
      <c r="A130" t="s">
        <v>53</v>
      </c>
      <c r="B130" t="s">
        <v>59</v>
      </c>
      <c r="C130" t="s">
        <v>60</v>
      </c>
      <c r="D130" s="37" t="s">
        <v>12</v>
      </c>
      <c r="E130" s="38" t="s">
        <v>13</v>
      </c>
      <c r="F130" s="38"/>
      <c r="G130" s="38"/>
      <c r="H130" s="38"/>
      <c r="I130" s="38"/>
    </row>
    <row r="131" spans="1:13" x14ac:dyDescent="0.2">
      <c r="A131" t="s">
        <v>54</v>
      </c>
      <c r="C131" t="s">
        <v>61</v>
      </c>
      <c r="D131" s="35"/>
      <c r="E131" s="29">
        <v>1</v>
      </c>
      <c r="F131" s="29">
        <v>2</v>
      </c>
      <c r="G131" s="29">
        <v>3</v>
      </c>
      <c r="H131" s="29">
        <v>4</v>
      </c>
      <c r="I131" s="29">
        <v>5</v>
      </c>
      <c r="K131" t="s">
        <v>66</v>
      </c>
      <c r="M131" t="s">
        <v>72</v>
      </c>
    </row>
    <row r="132" spans="1:13" x14ac:dyDescent="0.2">
      <c r="A132" t="s">
        <v>55</v>
      </c>
      <c r="C132" t="s">
        <v>62</v>
      </c>
      <c r="D132" s="9">
        <v>1</v>
      </c>
      <c r="E132" s="9">
        <v>15</v>
      </c>
      <c r="F132" s="9">
        <v>5</v>
      </c>
      <c r="G132" s="9">
        <v>27</v>
      </c>
      <c r="H132" s="31">
        <v>3</v>
      </c>
      <c r="I132" s="9">
        <v>10</v>
      </c>
      <c r="J132" s="20">
        <v>60</v>
      </c>
      <c r="K132" s="20">
        <v>0</v>
      </c>
      <c r="M132" t="s">
        <v>117</v>
      </c>
    </row>
    <row r="133" spans="1:13" x14ac:dyDescent="0.2">
      <c r="A133" t="s">
        <v>114</v>
      </c>
      <c r="C133" t="s">
        <v>115</v>
      </c>
      <c r="D133" s="9">
        <v>2</v>
      </c>
      <c r="E133" s="9"/>
      <c r="F133" s="32"/>
      <c r="G133" s="9"/>
      <c r="H133" s="9">
        <v>30</v>
      </c>
      <c r="I133" s="9"/>
      <c r="J133" s="20">
        <v>30</v>
      </c>
      <c r="K133">
        <v>-7</v>
      </c>
    </row>
    <row r="134" spans="1:13" x14ac:dyDescent="0.2">
      <c r="A134" t="s">
        <v>71</v>
      </c>
      <c r="C134" t="s">
        <v>63</v>
      </c>
      <c r="D134" s="9">
        <v>3</v>
      </c>
      <c r="E134" s="21"/>
      <c r="F134" s="21">
        <v>20</v>
      </c>
      <c r="G134" s="21"/>
      <c r="H134" s="21"/>
      <c r="I134" s="21"/>
      <c r="J134" s="20">
        <v>20</v>
      </c>
      <c r="K134">
        <v>-3</v>
      </c>
    </row>
    <row r="135" spans="1:13" x14ac:dyDescent="0.2">
      <c r="A135" t="s">
        <v>57</v>
      </c>
      <c r="C135" t="s">
        <v>65</v>
      </c>
      <c r="E135" s="22">
        <v>15</v>
      </c>
      <c r="F135" s="22">
        <v>25</v>
      </c>
      <c r="G135" s="22">
        <v>27</v>
      </c>
      <c r="H135" s="22">
        <v>33</v>
      </c>
      <c r="I135" s="22">
        <v>10</v>
      </c>
    </row>
    <row r="136" spans="1:13" x14ac:dyDescent="0.2">
      <c r="A136" t="s">
        <v>58</v>
      </c>
      <c r="C136" t="s">
        <v>64</v>
      </c>
      <c r="D136" t="s">
        <v>67</v>
      </c>
      <c r="E136">
        <v>1</v>
      </c>
      <c r="F136">
        <v>4</v>
      </c>
      <c r="G136">
        <v>1</v>
      </c>
      <c r="H136">
        <v>9</v>
      </c>
      <c r="I136">
        <v>0</v>
      </c>
      <c r="K136" t="s">
        <v>116</v>
      </c>
      <c r="L136" s="26">
        <f>15+20+27+9*3+30*2+20</f>
        <v>169</v>
      </c>
    </row>
    <row r="139" spans="1:13" x14ac:dyDescent="0.2">
      <c r="A139" t="s">
        <v>53</v>
      </c>
      <c r="B139" t="s">
        <v>59</v>
      </c>
      <c r="C139" t="s">
        <v>60</v>
      </c>
      <c r="D139" s="37" t="s">
        <v>12</v>
      </c>
      <c r="E139" s="38" t="s">
        <v>13</v>
      </c>
      <c r="F139" s="38"/>
      <c r="G139" s="38"/>
      <c r="H139" s="38"/>
      <c r="I139" s="38"/>
    </row>
    <row r="140" spans="1:13" x14ac:dyDescent="0.2">
      <c r="A140" t="s">
        <v>54</v>
      </c>
      <c r="C140" t="s">
        <v>61</v>
      </c>
      <c r="D140" s="35"/>
      <c r="E140" s="29">
        <v>1</v>
      </c>
      <c r="F140" s="29">
        <v>2</v>
      </c>
      <c r="G140" s="29">
        <v>3</v>
      </c>
      <c r="H140" s="29">
        <v>4</v>
      </c>
      <c r="I140" s="29">
        <v>5</v>
      </c>
      <c r="K140" t="s">
        <v>66</v>
      </c>
    </row>
    <row r="141" spans="1:13" x14ac:dyDescent="0.2">
      <c r="A141" t="s">
        <v>79</v>
      </c>
      <c r="C141" t="s">
        <v>62</v>
      </c>
      <c r="D141" s="9">
        <v>1</v>
      </c>
      <c r="E141" s="9">
        <v>15</v>
      </c>
      <c r="F141" s="9">
        <v>8</v>
      </c>
      <c r="G141" s="9">
        <v>27</v>
      </c>
      <c r="H141" s="32"/>
      <c r="I141" s="9">
        <v>10</v>
      </c>
      <c r="J141" s="20">
        <v>60</v>
      </c>
      <c r="K141" s="20">
        <v>0</v>
      </c>
    </row>
    <row r="142" spans="1:13" x14ac:dyDescent="0.2">
      <c r="A142" t="s">
        <v>114</v>
      </c>
      <c r="C142" t="s">
        <v>115</v>
      </c>
      <c r="D142" s="9">
        <v>2</v>
      </c>
      <c r="E142" s="9"/>
      <c r="F142" s="32"/>
      <c r="G142" s="9"/>
      <c r="H142" s="9">
        <v>30</v>
      </c>
      <c r="I142" s="9"/>
      <c r="J142" s="20">
        <v>30</v>
      </c>
      <c r="K142">
        <v>-4</v>
      </c>
    </row>
    <row r="143" spans="1:13" x14ac:dyDescent="0.2">
      <c r="A143" t="s">
        <v>71</v>
      </c>
      <c r="C143" t="s">
        <v>63</v>
      </c>
      <c r="D143" s="9">
        <v>3</v>
      </c>
      <c r="E143" s="21"/>
      <c r="F143" s="21">
        <v>17</v>
      </c>
      <c r="G143" s="21"/>
      <c r="H143" s="21">
        <v>3</v>
      </c>
      <c r="I143" s="21"/>
      <c r="J143" s="20">
        <v>20</v>
      </c>
      <c r="K143">
        <v>-3</v>
      </c>
    </row>
    <row r="144" spans="1:13" x14ac:dyDescent="0.2">
      <c r="A144" t="s">
        <v>57</v>
      </c>
      <c r="C144" t="s">
        <v>65</v>
      </c>
      <c r="E144" s="22">
        <v>15</v>
      </c>
      <c r="F144" s="22">
        <v>25</v>
      </c>
      <c r="G144" s="22">
        <v>27</v>
      </c>
      <c r="H144" s="22">
        <v>33</v>
      </c>
      <c r="I144" s="22">
        <v>10</v>
      </c>
    </row>
    <row r="145" spans="1:18" x14ac:dyDescent="0.2">
      <c r="A145" t="s">
        <v>58</v>
      </c>
      <c r="C145" t="s">
        <v>64</v>
      </c>
      <c r="D145" t="s">
        <v>67</v>
      </c>
      <c r="E145">
        <v>1</v>
      </c>
      <c r="F145">
        <v>4</v>
      </c>
      <c r="G145">
        <v>1</v>
      </c>
      <c r="H145">
        <v>6</v>
      </c>
      <c r="I145">
        <v>0</v>
      </c>
      <c r="K145" t="s">
        <v>116</v>
      </c>
      <c r="L145" s="26">
        <f>15+32+27+60+17+9</f>
        <v>160</v>
      </c>
    </row>
    <row r="147" spans="1:18" x14ac:dyDescent="0.2">
      <c r="A147" t="s">
        <v>118</v>
      </c>
    </row>
    <row r="149" spans="1:18" ht="14.5" customHeight="1" x14ac:dyDescent="0.2">
      <c r="A149" s="37" t="s">
        <v>12</v>
      </c>
      <c r="B149" s="38" t="s">
        <v>13</v>
      </c>
      <c r="C149" s="38"/>
      <c r="D149" s="38"/>
      <c r="E149" s="38"/>
      <c r="F149" s="38"/>
      <c r="I149" s="33"/>
      <c r="J149" s="33"/>
      <c r="K149" s="33"/>
      <c r="L149" s="33"/>
      <c r="M149" s="33"/>
    </row>
    <row r="150" spans="1:18" ht="14.5" customHeight="1" x14ac:dyDescent="0.2">
      <c r="A150" s="35"/>
      <c r="B150" s="29">
        <v>1</v>
      </c>
      <c r="C150" s="29">
        <v>2</v>
      </c>
      <c r="D150" s="29">
        <v>3</v>
      </c>
      <c r="E150" s="29">
        <v>4</v>
      </c>
      <c r="F150" s="29">
        <v>5</v>
      </c>
      <c r="I150" s="39" t="s">
        <v>119</v>
      </c>
      <c r="J150" s="39"/>
      <c r="K150" s="39"/>
      <c r="L150" s="39"/>
      <c r="M150" s="39"/>
      <c r="N150" s="39"/>
      <c r="O150" s="39"/>
      <c r="P150" s="39"/>
      <c r="Q150" s="39"/>
      <c r="R150" s="39"/>
    </row>
    <row r="151" spans="1:18" ht="15" customHeight="1" x14ac:dyDescent="0.2">
      <c r="A151" s="9">
        <v>1</v>
      </c>
      <c r="B151" s="9">
        <v>15</v>
      </c>
      <c r="C151" s="9">
        <v>8</v>
      </c>
      <c r="D151" s="9">
        <v>27</v>
      </c>
      <c r="E151" s="9"/>
      <c r="F151" s="9">
        <v>10</v>
      </c>
      <c r="G151" s="20">
        <v>60</v>
      </c>
      <c r="I151" s="39"/>
      <c r="J151" s="39"/>
      <c r="K151" s="39"/>
      <c r="L151" s="39"/>
      <c r="M151" s="39"/>
      <c r="N151" s="39"/>
      <c r="O151" s="39"/>
      <c r="P151" s="39"/>
      <c r="Q151" s="39"/>
      <c r="R151" s="39"/>
    </row>
    <row r="152" spans="1:18" ht="14.5" customHeight="1" x14ac:dyDescent="0.2">
      <c r="A152" s="9">
        <v>2</v>
      </c>
      <c r="B152" s="9"/>
      <c r="C152" s="9"/>
      <c r="D152" s="9"/>
      <c r="E152" s="9">
        <v>3</v>
      </c>
      <c r="F152" s="9"/>
      <c r="G152" s="20">
        <v>30</v>
      </c>
      <c r="I152" s="39"/>
      <c r="J152" s="39"/>
      <c r="K152" s="39"/>
      <c r="L152" s="39"/>
      <c r="M152" s="39"/>
      <c r="N152" s="39"/>
      <c r="O152" s="39"/>
      <c r="P152" s="39"/>
      <c r="Q152" s="39"/>
      <c r="R152" s="39"/>
    </row>
    <row r="153" spans="1:18" ht="14.5" customHeight="1" x14ac:dyDescent="0.2">
      <c r="A153" s="9">
        <v>3</v>
      </c>
      <c r="B153" s="21"/>
      <c r="C153" s="21">
        <v>17</v>
      </c>
      <c r="D153" s="21"/>
      <c r="E153" s="21"/>
      <c r="F153" s="21"/>
      <c r="G153" s="20">
        <v>20</v>
      </c>
      <c r="I153" s="39"/>
      <c r="J153" s="39"/>
      <c r="K153" s="39"/>
      <c r="L153" s="39"/>
      <c r="M153" s="39"/>
      <c r="N153" s="39"/>
      <c r="O153" s="39"/>
      <c r="P153" s="39"/>
      <c r="Q153" s="39"/>
      <c r="R153" s="39"/>
    </row>
    <row r="154" spans="1:18" x14ac:dyDescent="0.2">
      <c r="B154" s="22">
        <v>15</v>
      </c>
      <c r="C154" s="22">
        <v>25</v>
      </c>
      <c r="D154" s="22">
        <v>27</v>
      </c>
      <c r="E154" s="22">
        <v>33</v>
      </c>
      <c r="F154" s="22">
        <v>10</v>
      </c>
    </row>
  </sheetData>
  <mergeCells count="25">
    <mergeCell ref="A149:A150"/>
    <mergeCell ref="B149:F149"/>
    <mergeCell ref="I150:R153"/>
    <mergeCell ref="D130:D131"/>
    <mergeCell ref="E130:I130"/>
    <mergeCell ref="D139:D140"/>
    <mergeCell ref="E139:I139"/>
    <mergeCell ref="A111:A112"/>
    <mergeCell ref="B111:F111"/>
    <mergeCell ref="D121:D122"/>
    <mergeCell ref="E121:I121"/>
    <mergeCell ref="A103:A104"/>
    <mergeCell ref="B103:F103"/>
    <mergeCell ref="B31:B32"/>
    <mergeCell ref="C31:F31"/>
    <mergeCell ref="E71:E72"/>
    <mergeCell ref="F71:I71"/>
    <mergeCell ref="E80:E81"/>
    <mergeCell ref="F80:I80"/>
    <mergeCell ref="E62:E63"/>
    <mergeCell ref="F62:I62"/>
    <mergeCell ref="B40:B41"/>
    <mergeCell ref="C40:F40"/>
    <mergeCell ref="B51:B52"/>
    <mergeCell ref="C51:F51"/>
  </mergeCells>
  <phoneticPr fontId="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Титульник</vt:lpstr>
      <vt:lpstr>Лаба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 Dvorakovskiy</dc:creator>
  <cp:lastModifiedBy>Артем Харкевич</cp:lastModifiedBy>
  <dcterms:created xsi:type="dcterms:W3CDTF">2025-10-14T15:57:49Z</dcterms:created>
  <dcterms:modified xsi:type="dcterms:W3CDTF">2026-01-12T16:31:24Z</dcterms:modified>
</cp:coreProperties>
</file>