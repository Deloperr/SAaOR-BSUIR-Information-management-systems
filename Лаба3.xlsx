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OneDrive\Документы\саиио\"/>
    </mc:Choice>
  </mc:AlternateContent>
  <xr:revisionPtr revIDLastSave="0" documentId="13_ncr:1_{4BE39624-09C3-4848-A4E2-61CEED261624}" xr6:coauthVersionLast="47" xr6:coauthVersionMax="47" xr10:uidLastSave="{00000000-0000-0000-0000-000000000000}"/>
  <bookViews>
    <workbookView xWindow="-108" yWindow="-108" windowWidth="23256" windowHeight="12456" xr2:uid="{83149272-A77F-42F6-9030-3CAA7C342D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3" i="1" l="1"/>
  <c r="R72" i="1"/>
  <c r="R71" i="1"/>
  <c r="M73" i="1"/>
  <c r="M72" i="1"/>
  <c r="M71" i="1"/>
  <c r="H73" i="1"/>
  <c r="H72" i="1"/>
  <c r="H71" i="1"/>
  <c r="C73" i="1"/>
  <c r="C72" i="1"/>
  <c r="C71" i="1"/>
  <c r="R54" i="1"/>
  <c r="R53" i="1"/>
  <c r="R52" i="1"/>
  <c r="M54" i="1"/>
  <c r="M53" i="1"/>
  <c r="M52" i="1"/>
  <c r="H54" i="1"/>
  <c r="H53" i="1"/>
  <c r="H52" i="1"/>
  <c r="C54" i="1"/>
  <c r="C53" i="1"/>
  <c r="C52" i="1"/>
  <c r="R35" i="1"/>
  <c r="R34" i="1"/>
  <c r="R33" i="1"/>
  <c r="M35" i="1"/>
  <c r="M34" i="1"/>
  <c r="M33" i="1"/>
  <c r="H35" i="1"/>
  <c r="H38" i="1" s="1"/>
  <c r="H34" i="1"/>
  <c r="H33" i="1"/>
  <c r="C34" i="1"/>
  <c r="C35" i="1"/>
  <c r="C33" i="1"/>
  <c r="C14" i="1"/>
  <c r="C15" i="1"/>
  <c r="C16" i="1"/>
  <c r="C13" i="1"/>
  <c r="C18" i="1" l="1"/>
  <c r="C20" i="1" s="1"/>
  <c r="C38" i="1"/>
  <c r="C40" i="1" s="1"/>
  <c r="R57" i="1"/>
  <c r="R61" i="1" s="1"/>
  <c r="C42" i="1"/>
  <c r="C41" i="1"/>
  <c r="C57" i="1"/>
  <c r="C59" i="1" s="1"/>
  <c r="C76" i="1"/>
  <c r="C80" i="1"/>
  <c r="H76" i="1"/>
  <c r="R76" i="1"/>
  <c r="M76" i="1"/>
  <c r="M57" i="1"/>
  <c r="M60" i="1" s="1"/>
  <c r="H57" i="1"/>
  <c r="H59" i="1" s="1"/>
  <c r="R38" i="1"/>
  <c r="R42" i="1" s="1"/>
  <c r="M38" i="1"/>
  <c r="M42" i="1" s="1"/>
  <c r="H42" i="1"/>
  <c r="H41" i="1"/>
  <c r="H40" i="1"/>
  <c r="C21" i="1" l="1"/>
  <c r="C22" i="1"/>
  <c r="C23" i="1"/>
  <c r="E44" i="1"/>
  <c r="C89" i="1" s="1"/>
  <c r="E42" i="1"/>
  <c r="C87" i="1" s="1"/>
  <c r="C78" i="1"/>
  <c r="C79" i="1"/>
  <c r="R59" i="1"/>
  <c r="R79" i="1"/>
  <c r="R80" i="1"/>
  <c r="R60" i="1"/>
  <c r="R78" i="1"/>
  <c r="M59" i="1"/>
  <c r="H79" i="1"/>
  <c r="H61" i="1"/>
  <c r="M78" i="1"/>
  <c r="M61" i="1"/>
  <c r="H78" i="1"/>
  <c r="M80" i="1"/>
  <c r="C61" i="1"/>
  <c r="H60" i="1"/>
  <c r="E62" i="1" s="1"/>
  <c r="D88" i="1" s="1"/>
  <c r="H80" i="1"/>
  <c r="E81" i="1" s="1"/>
  <c r="E89" i="1" s="1"/>
  <c r="M79" i="1"/>
  <c r="C60" i="1"/>
  <c r="R41" i="1"/>
  <c r="R40" i="1"/>
  <c r="M41" i="1"/>
  <c r="E43" i="1" s="1"/>
  <c r="C88" i="1" s="1"/>
  <c r="M40" i="1"/>
  <c r="E80" i="1" l="1"/>
  <c r="E88" i="1" s="1"/>
  <c r="E63" i="1"/>
  <c r="D89" i="1" s="1"/>
  <c r="E79" i="1"/>
  <c r="E87" i="1" s="1"/>
  <c r="C92" i="1"/>
  <c r="E61" i="1"/>
  <c r="D87" i="1" s="1"/>
  <c r="C91" i="1" s="1"/>
  <c r="C93" i="1"/>
</calcChain>
</file>

<file path=xl/sharedStrings.xml><?xml version="1.0" encoding="utf-8"?>
<sst xmlns="http://schemas.openxmlformats.org/spreadsheetml/2006/main" count="215" uniqueCount="42">
  <si>
    <t>Стоимость линий</t>
  </si>
  <si>
    <t>Производительность</t>
  </si>
  <si>
    <t>К1</t>
  </si>
  <si>
    <t>К2</t>
  </si>
  <si>
    <t>К3</t>
  </si>
  <si>
    <t>К4</t>
  </si>
  <si>
    <t>С1</t>
  </si>
  <si>
    <t>С2</t>
  </si>
  <si>
    <t>С3</t>
  </si>
  <si>
    <t>С4</t>
  </si>
  <si>
    <t>С</t>
  </si>
  <si>
    <t>L1</t>
  </si>
  <si>
    <t>L2</t>
  </si>
  <si>
    <t>L3</t>
  </si>
  <si>
    <t>L4</t>
  </si>
  <si>
    <t>Для бытовых изделий</t>
  </si>
  <si>
    <t>Л1</t>
  </si>
  <si>
    <t>Л2</t>
  </si>
  <si>
    <t>Л3</t>
  </si>
  <si>
    <t>Техническая обычная</t>
  </si>
  <si>
    <t>Техническая упрочненная</t>
  </si>
  <si>
    <t>Стоимость</t>
  </si>
  <si>
    <t>стоимость</t>
  </si>
  <si>
    <t>производительность</t>
  </si>
  <si>
    <t>себестоимость</t>
  </si>
  <si>
    <t>время</t>
  </si>
  <si>
    <t>G1</t>
  </si>
  <si>
    <t>G2</t>
  </si>
  <si>
    <t>G3</t>
  </si>
  <si>
    <t>Внешние условия(спрос)</t>
  </si>
  <si>
    <t>Бытовые</t>
  </si>
  <si>
    <t>Обычная</t>
  </si>
  <si>
    <t>Упрочн</t>
  </si>
  <si>
    <t>E1</t>
  </si>
  <si>
    <t>E2</t>
  </si>
  <si>
    <t>E3</t>
  </si>
  <si>
    <t>K1</t>
  </si>
  <si>
    <t>K2</t>
  </si>
  <si>
    <t>K3</t>
  </si>
  <si>
    <t>K4</t>
  </si>
  <si>
    <t>Время непрерывной работы</t>
  </si>
  <si>
    <t>Себестоимость пластмассы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</si>
</sst>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1" xfId="0" applyFont="1" applyBorder="1"/>
    <xf numFmtId="12" fontId="0" fillId="0" borderId="1" xfId="0" applyNumberFormat="1" applyFont="1" applyBorder="1"/>
    <xf numFmtId="12" fontId="0" fillId="0" borderId="0" xfId="0" applyNumberFormat="1" applyFont="1"/>
    <xf numFmtId="12" fontId="0" fillId="0" borderId="0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6" xfId="0" applyFont="1" applyBorder="1"/>
    <xf numFmtId="0" fontId="0" fillId="0" borderId="0" xfId="0" applyFont="1" applyBorder="1"/>
    <xf numFmtId="0" fontId="0" fillId="0" borderId="7" xfId="0" applyFont="1" applyBorder="1"/>
    <xf numFmtId="12" fontId="0" fillId="0" borderId="8" xfId="0" applyNumberFormat="1" applyFont="1" applyBorder="1"/>
    <xf numFmtId="0" fontId="0" fillId="0" borderId="9" xfId="0" applyFont="1" applyBorder="1"/>
    <xf numFmtId="12" fontId="0" fillId="0" borderId="10" xfId="0" applyNumberFormat="1" applyFont="1" applyBorder="1"/>
    <xf numFmtId="12" fontId="0" fillId="0" borderId="4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96</xdr:row>
      <xdr:rowOff>53340</xdr:rowOff>
    </xdr:from>
    <xdr:to>
      <xdr:col>5</xdr:col>
      <xdr:colOff>113919</xdr:colOff>
      <xdr:row>105</xdr:row>
      <xdr:rowOff>150277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F20DC38-1A22-4E35-9058-8A338018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7609820"/>
          <a:ext cx="3047619" cy="17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213359</xdr:colOff>
      <xdr:row>107</xdr:row>
      <xdr:rowOff>124996</xdr:rowOff>
    </xdr:from>
    <xdr:to>
      <xdr:col>9</xdr:col>
      <xdr:colOff>510540</xdr:colOff>
      <xdr:row>113</xdr:row>
      <xdr:rowOff>127493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00B514C-7551-45D8-B569-B93D4FE3B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1359" y="19693156"/>
          <a:ext cx="2735581" cy="1099777"/>
        </a:xfrm>
        <a:prstGeom prst="rect">
          <a:avLst/>
        </a:prstGeom>
      </xdr:spPr>
    </xdr:pic>
    <xdr:clientData/>
  </xdr:twoCellAnchor>
  <xdr:twoCellAnchor editAs="oneCell">
    <xdr:from>
      <xdr:col>5</xdr:col>
      <xdr:colOff>220980</xdr:colOff>
      <xdr:row>102</xdr:row>
      <xdr:rowOff>8948</xdr:rowOff>
    </xdr:from>
    <xdr:to>
      <xdr:col>9</xdr:col>
      <xdr:colOff>518160</xdr:colOff>
      <xdr:row>107</xdr:row>
      <xdr:rowOff>39870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3481549-4146-46F1-83B3-3C587181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68980" y="18662708"/>
          <a:ext cx="2735580" cy="945322"/>
        </a:xfrm>
        <a:prstGeom prst="rect">
          <a:avLst/>
        </a:prstGeom>
      </xdr:spPr>
    </xdr:pic>
    <xdr:clientData/>
  </xdr:twoCellAnchor>
  <xdr:twoCellAnchor editAs="oneCell">
    <xdr:from>
      <xdr:col>5</xdr:col>
      <xdr:colOff>236221</xdr:colOff>
      <xdr:row>96</xdr:row>
      <xdr:rowOff>4712</xdr:rowOff>
    </xdr:from>
    <xdr:to>
      <xdr:col>9</xdr:col>
      <xdr:colOff>495301</xdr:colOff>
      <xdr:row>101</xdr:row>
      <xdr:rowOff>125561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9564F92-1B12-4079-B72D-87574DA2E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4221" y="17561192"/>
          <a:ext cx="2697480" cy="1035249"/>
        </a:xfrm>
        <a:prstGeom prst="rect">
          <a:avLst/>
        </a:prstGeom>
      </xdr:spPr>
    </xdr:pic>
    <xdr:clientData/>
  </xdr:twoCellAnchor>
  <xdr:twoCellAnchor editAs="oneCell">
    <xdr:from>
      <xdr:col>14</xdr:col>
      <xdr:colOff>586740</xdr:colOff>
      <xdr:row>1</xdr:row>
      <xdr:rowOff>68581</xdr:rowOff>
    </xdr:from>
    <xdr:to>
      <xdr:col>23</xdr:col>
      <xdr:colOff>73309</xdr:colOff>
      <xdr:row>11</xdr:row>
      <xdr:rowOff>170039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163A21F-BD8A-4FB7-B7F4-CEDE9980C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21140" y="251461"/>
          <a:ext cx="4972969" cy="1930258"/>
        </a:xfrm>
        <a:prstGeom prst="rect">
          <a:avLst/>
        </a:prstGeom>
      </xdr:spPr>
    </xdr:pic>
    <xdr:clientData/>
  </xdr:twoCellAnchor>
  <xdr:twoCellAnchor editAs="oneCell">
    <xdr:from>
      <xdr:col>15</xdr:col>
      <xdr:colOff>45816</xdr:colOff>
      <xdr:row>10</xdr:row>
      <xdr:rowOff>121920</xdr:rowOff>
    </xdr:from>
    <xdr:to>
      <xdr:col>22</xdr:col>
      <xdr:colOff>572540</xdr:colOff>
      <xdr:row>25</xdr:row>
      <xdr:rowOff>121343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6859C400-CFFE-4A32-ABCC-F957F7205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89816" y="1950720"/>
          <a:ext cx="4793924" cy="274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0E07-AF5E-4929-A1C4-AB5AAB888664}">
  <dimension ref="A1:W93"/>
  <sheetViews>
    <sheetView tabSelected="1" topLeftCell="A93" zoomScaleNormal="100" workbookViewId="0">
      <selection activeCell="C91" sqref="C91"/>
    </sheetView>
  </sheetViews>
  <sheetFormatPr defaultRowHeight="14.4" x14ac:dyDescent="0.3"/>
  <cols>
    <col min="1" max="16384" width="8.88671875" style="1"/>
  </cols>
  <sheetData>
    <row r="1" spans="2:23" x14ac:dyDescent="0.3">
      <c r="W1" s="1">
        <v>2314</v>
      </c>
    </row>
    <row r="2" spans="2:23" x14ac:dyDescent="0.3">
      <c r="B2" s="1" t="s">
        <v>36</v>
      </c>
      <c r="C2" s="1" t="s">
        <v>0</v>
      </c>
    </row>
    <row r="3" spans="2:23" x14ac:dyDescent="0.3">
      <c r="B3" s="1" t="s">
        <v>37</v>
      </c>
      <c r="C3" s="1" t="s">
        <v>1</v>
      </c>
    </row>
    <row r="4" spans="2:23" x14ac:dyDescent="0.3">
      <c r="B4" s="1" t="s">
        <v>38</v>
      </c>
      <c r="C4" s="1" t="s">
        <v>41</v>
      </c>
    </row>
    <row r="5" spans="2:23" x14ac:dyDescent="0.3">
      <c r="B5" s="1" t="s">
        <v>39</v>
      </c>
      <c r="C5" s="1" t="s">
        <v>40</v>
      </c>
    </row>
    <row r="7" spans="2:23" x14ac:dyDescent="0.3">
      <c r="B7" s="10"/>
      <c r="C7" s="9" t="s">
        <v>2</v>
      </c>
      <c r="D7" s="9" t="s">
        <v>3</v>
      </c>
      <c r="E7" s="9" t="s">
        <v>4</v>
      </c>
      <c r="F7" s="12" t="s">
        <v>5</v>
      </c>
    </row>
    <row r="8" spans="2:23" x14ac:dyDescent="0.3">
      <c r="B8" s="8" t="s">
        <v>2</v>
      </c>
      <c r="C8" s="3">
        <v>1</v>
      </c>
      <c r="D8" s="3">
        <v>0.125</v>
      </c>
      <c r="E8" s="3">
        <v>0.2</v>
      </c>
      <c r="F8" s="13">
        <v>1</v>
      </c>
    </row>
    <row r="9" spans="2:23" x14ac:dyDescent="0.3">
      <c r="B9" s="8" t="s">
        <v>3</v>
      </c>
      <c r="C9" s="3">
        <v>8</v>
      </c>
      <c r="D9" s="3">
        <v>1</v>
      </c>
      <c r="E9" s="3">
        <v>3</v>
      </c>
      <c r="F9" s="13">
        <v>8</v>
      </c>
    </row>
    <row r="10" spans="2:23" x14ac:dyDescent="0.3">
      <c r="B10" s="8" t="s">
        <v>4</v>
      </c>
      <c r="C10" s="3">
        <v>5</v>
      </c>
      <c r="D10" s="3">
        <v>0.33333333333333331</v>
      </c>
      <c r="E10" s="3">
        <v>1</v>
      </c>
      <c r="F10" s="13">
        <v>5</v>
      </c>
    </row>
    <row r="11" spans="2:23" x14ac:dyDescent="0.3">
      <c r="B11" s="14" t="s">
        <v>5</v>
      </c>
      <c r="C11" s="15">
        <v>1</v>
      </c>
      <c r="D11" s="15">
        <v>0.125</v>
      </c>
      <c r="E11" s="15">
        <v>0.2</v>
      </c>
      <c r="F11" s="16">
        <v>1</v>
      </c>
    </row>
    <row r="13" spans="2:23" x14ac:dyDescent="0.3">
      <c r="B13" s="1" t="s">
        <v>6</v>
      </c>
      <c r="C13" s="1">
        <f>POWER(C8*D8*E8*F8,1/4)</f>
        <v>0.39763536438352531</v>
      </c>
    </row>
    <row r="14" spans="2:23" x14ac:dyDescent="0.3">
      <c r="B14" s="1" t="s">
        <v>7</v>
      </c>
      <c r="C14" s="1">
        <f t="shared" ref="C14:C16" si="0">POWER(C9*D9*E9*F9,1/4)</f>
        <v>3.7224194364083982</v>
      </c>
    </row>
    <row r="15" spans="2:23" x14ac:dyDescent="0.3">
      <c r="B15" s="1" t="s">
        <v>8</v>
      </c>
      <c r="C15" s="1">
        <f t="shared" si="0"/>
        <v>1.6990442448471226</v>
      </c>
    </row>
    <row r="16" spans="2:23" x14ac:dyDescent="0.3">
      <c r="B16" s="1" t="s">
        <v>9</v>
      </c>
      <c r="C16" s="1">
        <f t="shared" si="0"/>
        <v>0.39763536438352531</v>
      </c>
    </row>
    <row r="18" spans="1:22" x14ac:dyDescent="0.3">
      <c r="B18" s="1" t="s">
        <v>10</v>
      </c>
      <c r="C18" s="1">
        <f>SUM(C13:C16)</f>
        <v>6.2167344100225712</v>
      </c>
    </row>
    <row r="20" spans="1:22" x14ac:dyDescent="0.3">
      <c r="B20" s="1" t="s">
        <v>11</v>
      </c>
      <c r="C20" s="1">
        <f>C13/C$18</f>
        <v>6.3962096199969662E-2</v>
      </c>
    </row>
    <row r="21" spans="1:22" x14ac:dyDescent="0.3">
      <c r="B21" s="1" t="s">
        <v>12</v>
      </c>
      <c r="C21" s="1">
        <f t="shared" ref="C21:C23" si="1">C14/C$18</f>
        <v>0.59877408151893097</v>
      </c>
    </row>
    <row r="22" spans="1:22" x14ac:dyDescent="0.3">
      <c r="B22" s="1" t="s">
        <v>13</v>
      </c>
      <c r="C22" s="1">
        <f t="shared" si="1"/>
        <v>0.27330172608112974</v>
      </c>
    </row>
    <row r="23" spans="1:22" x14ac:dyDescent="0.3">
      <c r="B23" s="1" t="s">
        <v>14</v>
      </c>
      <c r="C23" s="1">
        <f t="shared" si="1"/>
        <v>6.3962096199969662E-2</v>
      </c>
    </row>
    <row r="25" spans="1:22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 x14ac:dyDescent="0.3">
      <c r="A26" s="1" t="s">
        <v>15</v>
      </c>
    </row>
    <row r="27" spans="1:22" x14ac:dyDescent="0.3">
      <c r="B27" s="1" t="s">
        <v>21</v>
      </c>
      <c r="G27" s="1" t="s">
        <v>23</v>
      </c>
      <c r="L27" s="1" t="s">
        <v>24</v>
      </c>
      <c r="Q27" s="1" t="s">
        <v>25</v>
      </c>
    </row>
    <row r="28" spans="1:22" x14ac:dyDescent="0.3">
      <c r="B28" s="3"/>
      <c r="C28" s="3" t="s">
        <v>16</v>
      </c>
      <c r="D28" s="3" t="s">
        <v>17</v>
      </c>
      <c r="E28" s="3" t="s">
        <v>18</v>
      </c>
      <c r="F28" s="4"/>
      <c r="G28" s="3"/>
      <c r="H28" s="3" t="s">
        <v>16</v>
      </c>
      <c r="I28" s="3" t="s">
        <v>17</v>
      </c>
      <c r="J28" s="3" t="s">
        <v>18</v>
      </c>
      <c r="K28" s="4"/>
      <c r="L28" s="3"/>
      <c r="M28" s="3" t="s">
        <v>16</v>
      </c>
      <c r="N28" s="3" t="s">
        <v>17</v>
      </c>
      <c r="O28" s="3" t="s">
        <v>18</v>
      </c>
      <c r="P28" s="5"/>
      <c r="Q28" s="3"/>
      <c r="R28" s="3" t="s">
        <v>16</v>
      </c>
      <c r="S28" s="3" t="s">
        <v>17</v>
      </c>
      <c r="T28" s="3" t="s">
        <v>18</v>
      </c>
    </row>
    <row r="29" spans="1:22" x14ac:dyDescent="0.3">
      <c r="B29" s="3" t="s">
        <v>16</v>
      </c>
      <c r="C29" s="3">
        <v>1</v>
      </c>
      <c r="D29" s="3">
        <v>8</v>
      </c>
      <c r="E29" s="3">
        <v>3</v>
      </c>
      <c r="F29" s="4"/>
      <c r="G29" s="3" t="s">
        <v>16</v>
      </c>
      <c r="H29" s="3">
        <v>1</v>
      </c>
      <c r="I29" s="3">
        <v>5</v>
      </c>
      <c r="J29" s="3">
        <v>1</v>
      </c>
      <c r="K29" s="4"/>
      <c r="L29" s="3" t="s">
        <v>16</v>
      </c>
      <c r="M29" s="3">
        <v>1</v>
      </c>
      <c r="N29" s="3">
        <v>8</v>
      </c>
      <c r="O29" s="3">
        <v>6</v>
      </c>
      <c r="P29" s="5"/>
      <c r="Q29" s="3" t="s">
        <v>16</v>
      </c>
      <c r="R29" s="3">
        <v>1</v>
      </c>
      <c r="S29" s="3">
        <v>9</v>
      </c>
      <c r="T29" s="3">
        <v>6</v>
      </c>
    </row>
    <row r="30" spans="1:22" x14ac:dyDescent="0.3">
      <c r="B30" s="3" t="s">
        <v>17</v>
      </c>
      <c r="C30" s="3">
        <v>0.125</v>
      </c>
      <c r="D30" s="3">
        <v>1</v>
      </c>
      <c r="E30" s="3">
        <v>5</v>
      </c>
      <c r="F30" s="4"/>
      <c r="G30" s="3" t="s">
        <v>17</v>
      </c>
      <c r="H30" s="3">
        <v>0.2</v>
      </c>
      <c r="I30" s="3">
        <v>1</v>
      </c>
      <c r="J30" s="3">
        <v>0.2</v>
      </c>
      <c r="K30" s="4"/>
      <c r="L30" s="3" t="s">
        <v>17</v>
      </c>
      <c r="M30" s="3">
        <v>0.125</v>
      </c>
      <c r="N30" s="3">
        <v>1</v>
      </c>
      <c r="O30" s="3">
        <v>5</v>
      </c>
      <c r="P30" s="5"/>
      <c r="Q30" s="3" t="s">
        <v>17</v>
      </c>
      <c r="R30" s="3">
        <v>0.1111111111111111</v>
      </c>
      <c r="S30" s="3">
        <v>1</v>
      </c>
      <c r="T30" s="3">
        <v>4</v>
      </c>
    </row>
    <row r="31" spans="1:22" x14ac:dyDescent="0.3">
      <c r="B31" s="3" t="s">
        <v>18</v>
      </c>
      <c r="C31" s="3">
        <v>0.33333333333333331</v>
      </c>
      <c r="D31" s="3">
        <v>0.2</v>
      </c>
      <c r="E31" s="3">
        <v>1</v>
      </c>
      <c r="F31" s="4"/>
      <c r="G31" s="3" t="s">
        <v>18</v>
      </c>
      <c r="H31" s="3">
        <v>1</v>
      </c>
      <c r="I31" s="3">
        <v>5</v>
      </c>
      <c r="J31" s="3">
        <v>1</v>
      </c>
      <c r="K31" s="4"/>
      <c r="L31" s="3" t="s">
        <v>18</v>
      </c>
      <c r="M31" s="3">
        <v>0.16666666666666666</v>
      </c>
      <c r="N31" s="3">
        <v>0.2</v>
      </c>
      <c r="O31" s="3">
        <v>1</v>
      </c>
      <c r="P31" s="5"/>
      <c r="Q31" s="3" t="s">
        <v>18</v>
      </c>
      <c r="R31" s="3">
        <v>0.16666666666666666</v>
      </c>
      <c r="S31" s="3">
        <v>0.25</v>
      </c>
      <c r="T31" s="3">
        <v>1</v>
      </c>
    </row>
    <row r="33" spans="1:21" x14ac:dyDescent="0.3">
      <c r="B33" s="1" t="s">
        <v>6</v>
      </c>
      <c r="C33" s="1">
        <f>POWER(C29*D29*E29,1/3)</f>
        <v>2.8844991406148166</v>
      </c>
      <c r="G33" s="1" t="s">
        <v>6</v>
      </c>
      <c r="H33" s="1">
        <f>POWER(H29*I29*J29,1/3)</f>
        <v>1.7099759466766968</v>
      </c>
      <c r="L33" s="1" t="s">
        <v>6</v>
      </c>
      <c r="M33" s="1">
        <f>POWER(M29*N29*O29,1/3)</f>
        <v>3.6342411856642789</v>
      </c>
      <c r="Q33" s="1" t="s">
        <v>6</v>
      </c>
      <c r="R33" s="1">
        <f>POWER(R29*S29*T29,1/3)</f>
        <v>3.7797631496846198</v>
      </c>
    </row>
    <row r="34" spans="1:21" x14ac:dyDescent="0.3">
      <c r="B34" s="1" t="s">
        <v>7</v>
      </c>
      <c r="C34" s="1">
        <f t="shared" ref="C34:C35" si="2">POWER(C30*D30*E30,1/3)</f>
        <v>0.85498797333834853</v>
      </c>
      <c r="G34" s="1" t="s">
        <v>7</v>
      </c>
      <c r="H34" s="1">
        <f t="shared" ref="H34:H35" si="3">POWER(H30*I30*J30,1/3)</f>
        <v>0.34199518933533946</v>
      </c>
      <c r="L34" s="1" t="s">
        <v>7</v>
      </c>
      <c r="M34" s="1">
        <f t="shared" ref="M34:M35" si="4">POWER(M30*N30*O30,1/3)</f>
        <v>0.85498797333834853</v>
      </c>
      <c r="Q34" s="1" t="s">
        <v>7</v>
      </c>
      <c r="R34" s="1">
        <f t="shared" ref="R34:R35" si="5">POWER(R30*S30*T30,1/3)</f>
        <v>0.76314282836888792</v>
      </c>
    </row>
    <row r="35" spans="1:21" x14ac:dyDescent="0.3">
      <c r="B35" s="1" t="s">
        <v>8</v>
      </c>
      <c r="C35" s="1">
        <f t="shared" si="2"/>
        <v>0.40548013303822666</v>
      </c>
      <c r="G35" s="1" t="s">
        <v>8</v>
      </c>
      <c r="H35" s="1">
        <f t="shared" si="3"/>
        <v>1.7099759466766968</v>
      </c>
      <c r="L35" s="1" t="s">
        <v>8</v>
      </c>
      <c r="M35" s="1">
        <f t="shared" si="4"/>
        <v>0.32182979486854324</v>
      </c>
      <c r="Q35" s="1" t="s">
        <v>8</v>
      </c>
      <c r="R35" s="1">
        <f t="shared" si="5"/>
        <v>0.34668063717531739</v>
      </c>
    </row>
    <row r="38" spans="1:21" x14ac:dyDescent="0.3">
      <c r="B38" s="1" t="s">
        <v>10</v>
      </c>
      <c r="C38" s="1">
        <f>SUM(C33:C35)</f>
        <v>4.1449672469913921</v>
      </c>
      <c r="G38" s="1" t="s">
        <v>10</v>
      </c>
      <c r="H38" s="1">
        <f>SUM(H33:H35)</f>
        <v>3.7619470826887333</v>
      </c>
      <c r="L38" s="1" t="s">
        <v>10</v>
      </c>
      <c r="M38" s="1">
        <f>SUM(M33:M35)</f>
        <v>4.8110589538711714</v>
      </c>
      <c r="Q38" s="1" t="s">
        <v>10</v>
      </c>
      <c r="R38" s="1">
        <f>SUM(R33:R35)</f>
        <v>4.8895866152288248</v>
      </c>
    </row>
    <row r="40" spans="1:21" x14ac:dyDescent="0.3">
      <c r="B40" s="1" t="s">
        <v>11</v>
      </c>
      <c r="C40" s="1">
        <f>C33/C$38</f>
        <v>0.69590396467149862</v>
      </c>
      <c r="G40" s="1" t="s">
        <v>11</v>
      </c>
      <c r="H40" s="1">
        <f>H33/H$38</f>
        <v>0.45454545454545453</v>
      </c>
      <c r="L40" s="1" t="s">
        <v>11</v>
      </c>
      <c r="M40" s="1">
        <f>M33/M$38</f>
        <v>0.75539319316385067</v>
      </c>
      <c r="Q40" s="1" t="s">
        <v>11</v>
      </c>
      <c r="R40" s="1">
        <f>R33/R$38</f>
        <v>0.77302304818824297</v>
      </c>
    </row>
    <row r="41" spans="1:21" x14ac:dyDescent="0.3">
      <c r="B41" s="1" t="s">
        <v>12</v>
      </c>
      <c r="C41" s="1">
        <f t="shared" ref="C41" si="6">C34/C$38</f>
        <v>0.20627134604234523</v>
      </c>
      <c r="G41" s="1" t="s">
        <v>12</v>
      </c>
      <c r="H41" s="1">
        <f t="shared" ref="H41" si="7">H34/H$38</f>
        <v>9.0909090909090925E-2</v>
      </c>
      <c r="L41" s="1" t="s">
        <v>12</v>
      </c>
      <c r="M41" s="1">
        <f t="shared" ref="M41" si="8">M34/M$38</f>
        <v>0.17771305268466744</v>
      </c>
      <c r="Q41" s="1" t="s">
        <v>12</v>
      </c>
      <c r="R41" s="1">
        <f t="shared" ref="R41" si="9">R34/R$38</f>
        <v>0.15607512217741418</v>
      </c>
    </row>
    <row r="42" spans="1:21" x14ac:dyDescent="0.3">
      <c r="B42" s="1" t="s">
        <v>13</v>
      </c>
      <c r="C42" s="1">
        <f>C35/C$38</f>
        <v>9.7824689286156077E-2</v>
      </c>
      <c r="D42" s="1" t="s">
        <v>26</v>
      </c>
      <c r="E42" s="1">
        <f>C$20*C40+C$21*H40+M40*C$22+R40*C$23</f>
        <v>0.57257595152294505</v>
      </c>
      <c r="G42" s="1" t="s">
        <v>13</v>
      </c>
      <c r="H42" s="1">
        <f>H35/H$38</f>
        <v>0.45454545454545453</v>
      </c>
      <c r="L42" s="1" t="s">
        <v>13</v>
      </c>
      <c r="M42" s="1">
        <f>M35/M$38</f>
        <v>6.6893754151481771E-2</v>
      </c>
      <c r="Q42" s="1" t="s">
        <v>13</v>
      </c>
      <c r="R42" s="1">
        <f>R35/R$38</f>
        <v>7.0901829634342883E-2</v>
      </c>
    </row>
    <row r="43" spans="1:21" x14ac:dyDescent="0.3">
      <c r="D43" s="1" t="s">
        <v>27</v>
      </c>
      <c r="E43" s="1">
        <f t="shared" ref="E43:E44" si="10">C$20*C41+C$21*H41+M41*C$22+R41*C$23</f>
        <v>0.12617973111466979</v>
      </c>
    </row>
    <row r="44" spans="1:21" x14ac:dyDescent="0.3">
      <c r="A44" s="11"/>
      <c r="B44" s="11"/>
      <c r="C44" s="11"/>
      <c r="D44" s="11" t="s">
        <v>28</v>
      </c>
      <c r="E44" s="11">
        <f t="shared" si="10"/>
        <v>0.30124431736238516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1" x14ac:dyDescent="0.3">
      <c r="A45" s="1" t="s">
        <v>19</v>
      </c>
    </row>
    <row r="46" spans="1:21" x14ac:dyDescent="0.3">
      <c r="B46" s="1" t="s">
        <v>22</v>
      </c>
      <c r="G46" s="1" t="s">
        <v>23</v>
      </c>
      <c r="L46" s="1" t="s">
        <v>24</v>
      </c>
      <c r="Q46" s="1" t="s">
        <v>25</v>
      </c>
    </row>
    <row r="47" spans="1:21" x14ac:dyDescent="0.3">
      <c r="B47" s="3"/>
      <c r="C47" s="3" t="s">
        <v>16</v>
      </c>
      <c r="D47" s="3" t="s">
        <v>17</v>
      </c>
      <c r="E47" s="3" t="s">
        <v>18</v>
      </c>
      <c r="F47" s="4"/>
      <c r="G47" s="3"/>
      <c r="H47" s="3" t="s">
        <v>16</v>
      </c>
      <c r="I47" s="3" t="s">
        <v>17</v>
      </c>
      <c r="J47" s="3" t="s">
        <v>18</v>
      </c>
      <c r="K47" s="4"/>
      <c r="L47" s="3"/>
      <c r="M47" s="3" t="s">
        <v>16</v>
      </c>
      <c r="N47" s="3" t="s">
        <v>17</v>
      </c>
      <c r="O47" s="3" t="s">
        <v>18</v>
      </c>
      <c r="P47" s="5"/>
      <c r="Q47" s="3"/>
      <c r="R47" s="3" t="s">
        <v>16</v>
      </c>
      <c r="S47" s="3" t="s">
        <v>17</v>
      </c>
      <c r="T47" s="3" t="s">
        <v>18</v>
      </c>
      <c r="U47" s="4"/>
    </row>
    <row r="48" spans="1:21" x14ac:dyDescent="0.3">
      <c r="B48" s="3" t="s">
        <v>16</v>
      </c>
      <c r="C48" s="3">
        <v>1</v>
      </c>
      <c r="D48" s="3">
        <v>8</v>
      </c>
      <c r="E48" s="3">
        <v>3</v>
      </c>
      <c r="F48" s="4"/>
      <c r="G48" s="3" t="s">
        <v>16</v>
      </c>
      <c r="H48" s="3">
        <v>1</v>
      </c>
      <c r="I48" s="3">
        <v>8</v>
      </c>
      <c r="J48" s="3">
        <v>3</v>
      </c>
      <c r="K48" s="4"/>
      <c r="L48" s="3" t="s">
        <v>16</v>
      </c>
      <c r="M48" s="3">
        <v>1</v>
      </c>
      <c r="N48" s="3">
        <v>0.33333333333333331</v>
      </c>
      <c r="O48" s="3">
        <v>0.125</v>
      </c>
      <c r="P48" s="5"/>
      <c r="Q48" s="3" t="s">
        <v>16</v>
      </c>
      <c r="R48" s="3">
        <v>1</v>
      </c>
      <c r="S48" s="3">
        <v>7</v>
      </c>
      <c r="T48" s="3">
        <v>3</v>
      </c>
      <c r="U48" s="4"/>
    </row>
    <row r="49" spans="1:21" x14ac:dyDescent="0.3">
      <c r="B49" s="3" t="s">
        <v>17</v>
      </c>
      <c r="C49" s="3">
        <v>0.125</v>
      </c>
      <c r="D49" s="3">
        <v>1</v>
      </c>
      <c r="E49" s="3">
        <v>6</v>
      </c>
      <c r="F49" s="4"/>
      <c r="G49" s="3" t="s">
        <v>17</v>
      </c>
      <c r="H49" s="3">
        <v>0.125</v>
      </c>
      <c r="I49" s="3">
        <v>1</v>
      </c>
      <c r="J49" s="3">
        <v>0.2</v>
      </c>
      <c r="K49" s="4"/>
      <c r="L49" s="3" t="s">
        <v>17</v>
      </c>
      <c r="M49" s="3">
        <v>3</v>
      </c>
      <c r="N49" s="3">
        <v>1</v>
      </c>
      <c r="O49" s="3">
        <v>0.2</v>
      </c>
      <c r="P49" s="5"/>
      <c r="Q49" s="3" t="s">
        <v>17</v>
      </c>
      <c r="R49" s="3">
        <v>0.14285714285714285</v>
      </c>
      <c r="S49" s="3">
        <v>1</v>
      </c>
      <c r="T49" s="3">
        <v>0.2</v>
      </c>
      <c r="U49" s="4"/>
    </row>
    <row r="50" spans="1:21" x14ac:dyDescent="0.3">
      <c r="B50" s="3" t="s">
        <v>18</v>
      </c>
      <c r="C50" s="3">
        <v>0.33333333333333331</v>
      </c>
      <c r="D50" s="3">
        <v>0.16666666666666666</v>
      </c>
      <c r="E50" s="3">
        <v>1</v>
      </c>
      <c r="F50" s="4"/>
      <c r="G50" s="3" t="s">
        <v>18</v>
      </c>
      <c r="H50" s="3">
        <v>0.33333333333333331</v>
      </c>
      <c r="I50" s="3">
        <v>5</v>
      </c>
      <c r="J50" s="3">
        <v>1</v>
      </c>
      <c r="K50" s="4"/>
      <c r="L50" s="3" t="s">
        <v>18</v>
      </c>
      <c r="M50" s="3">
        <v>8</v>
      </c>
      <c r="N50" s="3">
        <v>5</v>
      </c>
      <c r="O50" s="3">
        <v>1</v>
      </c>
      <c r="P50" s="5"/>
      <c r="Q50" s="3" t="s">
        <v>18</v>
      </c>
      <c r="R50" s="3">
        <v>0.33333333333333331</v>
      </c>
      <c r="S50" s="3">
        <v>5</v>
      </c>
      <c r="T50" s="3">
        <v>1</v>
      </c>
      <c r="U50" s="4"/>
    </row>
    <row r="52" spans="1:21" x14ac:dyDescent="0.3">
      <c r="B52" s="1" t="s">
        <v>6</v>
      </c>
      <c r="C52" s="1">
        <f>POWER(C48*D48*E48,1/3)</f>
        <v>2.8844991406148166</v>
      </c>
      <c r="G52" s="1" t="s">
        <v>6</v>
      </c>
      <c r="H52" s="1">
        <f>POWER(H48*I48*J48,1/3)</f>
        <v>2.8844991406148166</v>
      </c>
      <c r="L52" s="1" t="s">
        <v>6</v>
      </c>
      <c r="M52" s="1">
        <f>POWER(M48*N48*O48,1/3)</f>
        <v>0.34668063717531739</v>
      </c>
      <c r="Q52" s="1" t="s">
        <v>6</v>
      </c>
      <c r="R52" s="1">
        <f>POWER(R48*S48*T48,1/3)</f>
        <v>2.7589241763811208</v>
      </c>
    </row>
    <row r="53" spans="1:21" x14ac:dyDescent="0.3">
      <c r="B53" s="1" t="s">
        <v>7</v>
      </c>
      <c r="C53" s="1">
        <f t="shared" ref="C53:C54" si="11">POWER(C49*D49*E49,1/3)</f>
        <v>0.90856029641606983</v>
      </c>
      <c r="G53" s="1" t="s">
        <v>7</v>
      </c>
      <c r="H53" s="1">
        <f t="shared" ref="H53:H54" si="12">POWER(H49*I49*J49,1/3)</f>
        <v>0.29240177382128663</v>
      </c>
      <c r="L53" s="1" t="s">
        <v>7</v>
      </c>
      <c r="M53" s="1">
        <f t="shared" ref="M53:M54" si="13">POWER(M49*N49*O49,1/3)</f>
        <v>0.84343266530174932</v>
      </c>
      <c r="Q53" s="1" t="s">
        <v>7</v>
      </c>
      <c r="R53" s="1">
        <f t="shared" ref="R53:R54" si="14">POWER(R49*S49*T49,1/3)</f>
        <v>0.30571070873287992</v>
      </c>
    </row>
    <row r="54" spans="1:21" x14ac:dyDescent="0.3">
      <c r="B54" s="1" t="s">
        <v>8</v>
      </c>
      <c r="C54" s="1">
        <f t="shared" si="11"/>
        <v>0.38157141418444396</v>
      </c>
      <c r="G54" s="1" t="s">
        <v>8</v>
      </c>
      <c r="H54" s="1">
        <f t="shared" si="12"/>
        <v>1.1856311014966876</v>
      </c>
      <c r="L54" s="1" t="s">
        <v>8</v>
      </c>
      <c r="M54" s="1">
        <f t="shared" si="13"/>
        <v>3.4199518933533941</v>
      </c>
      <c r="Q54" s="1" t="s">
        <v>8</v>
      </c>
      <c r="R54" s="1">
        <f t="shared" si="14"/>
        <v>1.1856311014966876</v>
      </c>
    </row>
    <row r="57" spans="1:21" x14ac:dyDescent="0.3">
      <c r="B57" s="1" t="s">
        <v>10</v>
      </c>
      <c r="C57" s="1">
        <f>SUM(C52:C54)</f>
        <v>4.1746308512153307</v>
      </c>
      <c r="G57" s="1" t="s">
        <v>10</v>
      </c>
      <c r="H57" s="1">
        <f>SUM(H52:H54)</f>
        <v>4.3625320159327909</v>
      </c>
      <c r="L57" s="1" t="s">
        <v>10</v>
      </c>
      <c r="M57" s="1">
        <f>SUM(M52:M54)</f>
        <v>4.6100651958304608</v>
      </c>
      <c r="Q57" s="1" t="s">
        <v>10</v>
      </c>
      <c r="R57" s="1">
        <f>SUM(R52:R54)</f>
        <v>4.250265986610688</v>
      </c>
    </row>
    <row r="59" spans="1:21" x14ac:dyDescent="0.3">
      <c r="B59" s="1" t="s">
        <v>11</v>
      </c>
      <c r="C59" s="1">
        <f>C52/C$57</f>
        <v>0.69095909157454549</v>
      </c>
      <c r="G59" s="1" t="s">
        <v>11</v>
      </c>
      <c r="H59" s="1">
        <f>H52/H$57</f>
        <v>0.66119838893561833</v>
      </c>
      <c r="L59" s="1" t="s">
        <v>11</v>
      </c>
      <c r="M59" s="1">
        <f>M52/M$57</f>
        <v>7.5200810064219942E-2</v>
      </c>
      <c r="Q59" s="1" t="s">
        <v>11</v>
      </c>
      <c r="R59" s="1">
        <f>R52/R$57</f>
        <v>0.6491180046313253</v>
      </c>
    </row>
    <row r="60" spans="1:21" x14ac:dyDescent="0.3">
      <c r="B60" s="1" t="s">
        <v>12</v>
      </c>
      <c r="C60" s="1">
        <f t="shared" ref="C60:C61" si="15">C53/C$57</f>
        <v>0.21763847602275233</v>
      </c>
      <c r="G60" s="1" t="s">
        <v>12</v>
      </c>
      <c r="H60" s="1">
        <f t="shared" ref="H60:H61" si="16">H53/H$57</f>
        <v>6.7025702677568924E-2</v>
      </c>
      <c r="L60" s="1" t="s">
        <v>12</v>
      </c>
      <c r="M60" s="1">
        <f t="shared" ref="M60:M61" si="17">M53/M$57</f>
        <v>0.18295460681653389</v>
      </c>
      <c r="Q60" s="1" t="s">
        <v>12</v>
      </c>
      <c r="R60" s="1">
        <f t="shared" ref="R60:R61" si="18">R53/R$57</f>
        <v>7.1927429882256477E-2</v>
      </c>
    </row>
    <row r="61" spans="1:21" x14ac:dyDescent="0.3">
      <c r="B61" s="1" t="s">
        <v>13</v>
      </c>
      <c r="C61" s="1">
        <f t="shared" si="15"/>
        <v>9.1402432402702086E-2</v>
      </c>
      <c r="D61" s="1" t="s">
        <v>26</v>
      </c>
      <c r="E61" s="1">
        <f>C$20*C59+C$21*H59+M59*C$22+R59*C$23</f>
        <v>0.50217510937286813</v>
      </c>
      <c r="G61" s="1" t="s">
        <v>13</v>
      </c>
      <c r="H61" s="1">
        <f t="shared" si="16"/>
        <v>0.2717759083868127</v>
      </c>
      <c r="L61" s="1" t="s">
        <v>13</v>
      </c>
      <c r="M61" s="1">
        <f t="shared" si="17"/>
        <v>0.74184458311924617</v>
      </c>
      <c r="Q61" s="1" t="s">
        <v>13</v>
      </c>
      <c r="R61" s="1">
        <f t="shared" si="18"/>
        <v>0.27895456548641834</v>
      </c>
    </row>
    <row r="62" spans="1:21" x14ac:dyDescent="0.3">
      <c r="D62" s="1" t="s">
        <v>27</v>
      </c>
      <c r="E62" s="1">
        <f t="shared" ref="E62:E63" si="19">C$20*C60+C$21*H60+M60*C$22+R60*C$23</f>
        <v>0.10865630572610295</v>
      </c>
    </row>
    <row r="63" spans="1:21" x14ac:dyDescent="0.3">
      <c r="A63" s="11"/>
      <c r="B63" s="11"/>
      <c r="C63" s="11"/>
      <c r="D63" s="11" t="s">
        <v>28</v>
      </c>
      <c r="E63" s="11">
        <f t="shared" si="19"/>
        <v>0.3891685849010289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1" x14ac:dyDescent="0.3">
      <c r="A64" s="1" t="s">
        <v>20</v>
      </c>
    </row>
    <row r="65" spans="2:23" x14ac:dyDescent="0.3">
      <c r="B65" s="1" t="s">
        <v>22</v>
      </c>
      <c r="G65" s="1" t="s">
        <v>23</v>
      </c>
      <c r="L65" s="1" t="s">
        <v>24</v>
      </c>
      <c r="Q65" s="1" t="s">
        <v>25</v>
      </c>
    </row>
    <row r="66" spans="2:23" x14ac:dyDescent="0.3">
      <c r="B66" s="3"/>
      <c r="C66" s="3" t="s">
        <v>16</v>
      </c>
      <c r="D66" s="3" t="s">
        <v>17</v>
      </c>
      <c r="E66" s="3" t="s">
        <v>18</v>
      </c>
      <c r="F66" s="4"/>
      <c r="G66" s="3"/>
      <c r="H66" s="3" t="s">
        <v>16</v>
      </c>
      <c r="I66" s="3" t="s">
        <v>17</v>
      </c>
      <c r="J66" s="3" t="s">
        <v>18</v>
      </c>
      <c r="K66" s="4"/>
      <c r="L66" s="3"/>
      <c r="M66" s="3" t="s">
        <v>16</v>
      </c>
      <c r="N66" s="3" t="s">
        <v>17</v>
      </c>
      <c r="O66" s="3" t="s">
        <v>18</v>
      </c>
      <c r="P66" s="5"/>
      <c r="Q66" s="3"/>
      <c r="R66" s="3" t="s">
        <v>16</v>
      </c>
      <c r="S66" s="3" t="s">
        <v>17</v>
      </c>
      <c r="T66" s="3" t="s">
        <v>18</v>
      </c>
      <c r="U66" s="4"/>
      <c r="V66" s="4"/>
    </row>
    <row r="67" spans="2:23" x14ac:dyDescent="0.3">
      <c r="B67" s="3" t="s">
        <v>16</v>
      </c>
      <c r="C67" s="3">
        <v>1</v>
      </c>
      <c r="D67" s="3">
        <v>8</v>
      </c>
      <c r="E67" s="3">
        <v>3</v>
      </c>
      <c r="F67" s="4"/>
      <c r="G67" s="3" t="s">
        <v>16</v>
      </c>
      <c r="H67" s="3">
        <v>1</v>
      </c>
      <c r="I67" s="3">
        <v>8</v>
      </c>
      <c r="J67" s="3">
        <v>4</v>
      </c>
      <c r="K67" s="4"/>
      <c r="L67" s="3" t="s">
        <v>16</v>
      </c>
      <c r="M67" s="3">
        <v>1</v>
      </c>
      <c r="N67" s="3">
        <v>0.1111111111111111</v>
      </c>
      <c r="O67" s="3">
        <v>0.33333333333333331</v>
      </c>
      <c r="P67" s="5"/>
      <c r="Q67" s="3" t="s">
        <v>16</v>
      </c>
      <c r="R67" s="3">
        <v>1</v>
      </c>
      <c r="S67" s="3">
        <v>9</v>
      </c>
      <c r="T67" s="3">
        <v>2</v>
      </c>
      <c r="U67" s="4"/>
      <c r="V67" s="4"/>
    </row>
    <row r="68" spans="2:23" x14ac:dyDescent="0.3">
      <c r="B68" s="3" t="s">
        <v>17</v>
      </c>
      <c r="C68" s="3">
        <v>0.125</v>
      </c>
      <c r="D68" s="3">
        <v>1</v>
      </c>
      <c r="E68" s="3">
        <v>6</v>
      </c>
      <c r="F68" s="4"/>
      <c r="G68" s="3" t="s">
        <v>17</v>
      </c>
      <c r="H68" s="3">
        <v>0.125</v>
      </c>
      <c r="I68" s="3">
        <v>1</v>
      </c>
      <c r="J68" s="3">
        <v>0.16666666666666666</v>
      </c>
      <c r="K68" s="4"/>
      <c r="L68" s="3" t="s">
        <v>17</v>
      </c>
      <c r="M68" s="3">
        <v>9</v>
      </c>
      <c r="N68" s="3">
        <v>1</v>
      </c>
      <c r="O68" s="3">
        <v>6</v>
      </c>
      <c r="P68" s="5"/>
      <c r="Q68" s="3" t="s">
        <v>17</v>
      </c>
      <c r="R68" s="3">
        <v>0.1111111111111111</v>
      </c>
      <c r="S68" s="3">
        <v>1</v>
      </c>
      <c r="T68" s="3">
        <v>0.2</v>
      </c>
      <c r="U68" s="4"/>
      <c r="V68" s="4"/>
    </row>
    <row r="69" spans="2:23" x14ac:dyDescent="0.3">
      <c r="B69" s="3" t="s">
        <v>18</v>
      </c>
      <c r="C69" s="3">
        <v>0.33333333333333331</v>
      </c>
      <c r="D69" s="3">
        <v>0.16666666666666666</v>
      </c>
      <c r="E69" s="3">
        <v>1</v>
      </c>
      <c r="F69" s="4"/>
      <c r="G69" s="3" t="s">
        <v>18</v>
      </c>
      <c r="H69" s="3">
        <v>0.25</v>
      </c>
      <c r="I69" s="3">
        <v>6</v>
      </c>
      <c r="J69" s="3">
        <v>1</v>
      </c>
      <c r="K69" s="4"/>
      <c r="L69" s="3" t="s">
        <v>18</v>
      </c>
      <c r="M69" s="3">
        <v>3</v>
      </c>
      <c r="N69" s="3">
        <v>0.16666666666666666</v>
      </c>
      <c r="O69" s="3">
        <v>1</v>
      </c>
      <c r="P69" s="5"/>
      <c r="Q69" s="3" t="s">
        <v>18</v>
      </c>
      <c r="R69" s="3">
        <v>0.5</v>
      </c>
      <c r="S69" s="3">
        <v>5</v>
      </c>
      <c r="T69" s="3">
        <v>1</v>
      </c>
      <c r="U69" s="4"/>
      <c r="V69" s="4"/>
    </row>
    <row r="71" spans="2:23" x14ac:dyDescent="0.3">
      <c r="B71" s="1" t="s">
        <v>6</v>
      </c>
      <c r="C71" s="1">
        <f>POWER(C67*D67*E67,1/3)</f>
        <v>2.8844991406148166</v>
      </c>
      <c r="G71" s="1" t="s">
        <v>6</v>
      </c>
      <c r="H71" s="1">
        <f>POWER(H67*I67*J67,1/3)</f>
        <v>3.1748021039363987</v>
      </c>
      <c r="L71" s="1" t="s">
        <v>6</v>
      </c>
      <c r="M71" s="1">
        <f>POWER(M67*N67*O67,1/3)</f>
        <v>0.33333333333333337</v>
      </c>
      <c r="Q71" s="1" t="s">
        <v>6</v>
      </c>
      <c r="R71" s="1">
        <f>POWER(R67*S67*T67,1/3)</f>
        <v>2.6207413942088964</v>
      </c>
    </row>
    <row r="72" spans="2:23" x14ac:dyDescent="0.3">
      <c r="B72" s="1" t="s">
        <v>7</v>
      </c>
      <c r="C72" s="1">
        <f t="shared" ref="C72:C73" si="20">POWER(C68*D68*E68,1/3)</f>
        <v>0.90856029641606983</v>
      </c>
      <c r="G72" s="1" t="s">
        <v>7</v>
      </c>
      <c r="H72" s="1">
        <f t="shared" ref="H72:H73" si="21">POWER(H68*I68*J68,1/3)</f>
        <v>0.27516060407455223</v>
      </c>
      <c r="L72" s="1" t="s">
        <v>7</v>
      </c>
      <c r="M72" s="1">
        <f t="shared" ref="M72:M73" si="22">POWER(M68*N68*O68,1/3)</f>
        <v>3.7797631496846198</v>
      </c>
      <c r="Q72" s="1" t="s">
        <v>7</v>
      </c>
      <c r="R72" s="1">
        <f t="shared" ref="R72:R73" si="23">POWER(R68*S68*T68,1/3)</f>
        <v>0.28114422176724979</v>
      </c>
    </row>
    <row r="73" spans="2:23" x14ac:dyDescent="0.3">
      <c r="B73" s="1" t="s">
        <v>8</v>
      </c>
      <c r="C73" s="1">
        <f t="shared" si="20"/>
        <v>0.38157141418444396</v>
      </c>
      <c r="G73" s="1" t="s">
        <v>8</v>
      </c>
      <c r="H73" s="1">
        <f t="shared" si="21"/>
        <v>1.1447142425533319</v>
      </c>
      <c r="L73" s="1" t="s">
        <v>8</v>
      </c>
      <c r="M73" s="1">
        <f t="shared" si="22"/>
        <v>0.79370052598409979</v>
      </c>
      <c r="Q73" s="1" t="s">
        <v>8</v>
      </c>
      <c r="R73" s="1">
        <f t="shared" si="23"/>
        <v>1.3572088082974534</v>
      </c>
    </row>
    <row r="75" spans="2:23" x14ac:dyDescent="0.3">
      <c r="W75" s="4"/>
    </row>
    <row r="76" spans="2:23" x14ac:dyDescent="0.3">
      <c r="B76" s="1" t="s">
        <v>10</v>
      </c>
      <c r="C76" s="1">
        <f>SUM(C71:C73)</f>
        <v>4.1746308512153307</v>
      </c>
      <c r="G76" s="1" t="s">
        <v>10</v>
      </c>
      <c r="H76" s="1">
        <f>SUM(H71:H73)</f>
        <v>4.594676950564283</v>
      </c>
      <c r="L76" s="1" t="s">
        <v>10</v>
      </c>
      <c r="M76" s="1">
        <f>SUM(M71:M73)</f>
        <v>4.9067970090020534</v>
      </c>
      <c r="Q76" s="1" t="s">
        <v>10</v>
      </c>
      <c r="R76" s="1">
        <f>SUM(R71:R73)</f>
        <v>4.2590944242735995</v>
      </c>
      <c r="W76" s="4"/>
    </row>
    <row r="77" spans="2:23" x14ac:dyDescent="0.3">
      <c r="W77" s="4"/>
    </row>
    <row r="78" spans="2:23" x14ac:dyDescent="0.3">
      <c r="B78" s="1" t="s">
        <v>11</v>
      </c>
      <c r="C78" s="1">
        <f>C71/C$57</f>
        <v>0.69095909157454549</v>
      </c>
      <c r="G78" s="1" t="s">
        <v>11</v>
      </c>
      <c r="H78" s="1">
        <f>H71/H$57</f>
        <v>0.72774299245058183</v>
      </c>
      <c r="L78" s="1" t="s">
        <v>11</v>
      </c>
      <c r="M78" s="1">
        <f>M71/M$57</f>
        <v>7.2305557334593498E-2</v>
      </c>
      <c r="Q78" s="1" t="s">
        <v>11</v>
      </c>
      <c r="R78" s="1">
        <f>R71/R$57</f>
        <v>0.61660644356490457</v>
      </c>
      <c r="W78" s="4"/>
    </row>
    <row r="79" spans="2:23" x14ac:dyDescent="0.3">
      <c r="B79" s="1" t="s">
        <v>12</v>
      </c>
      <c r="C79" s="1">
        <f t="shared" ref="C79:C80" si="24">C72/C$57</f>
        <v>0.21763847602275233</v>
      </c>
      <c r="D79" s="1" t="s">
        <v>26</v>
      </c>
      <c r="E79" s="1">
        <f>C$20*C78+C$21*H78+M78*C$22+R78*C$23</f>
        <v>0.53914950805759221</v>
      </c>
      <c r="G79" s="1" t="s">
        <v>12</v>
      </c>
      <c r="H79" s="1">
        <f t="shared" ref="H79:H80" si="25">H72/H$57</f>
        <v>6.3073601080659972E-2</v>
      </c>
      <c r="L79" s="1" t="s">
        <v>12</v>
      </c>
      <c r="M79" s="1">
        <f t="shared" ref="M79:M80" si="26">M72/M$57</f>
        <v>0.81989364339211479</v>
      </c>
      <c r="Q79" s="1" t="s">
        <v>12</v>
      </c>
      <c r="R79" s="1">
        <f t="shared" ref="R79:R80" si="27">R72/R$57</f>
        <v>6.6147441749038416E-2</v>
      </c>
    </row>
    <row r="80" spans="2:23" x14ac:dyDescent="0.3">
      <c r="B80" s="1" t="s">
        <v>13</v>
      </c>
      <c r="C80" s="1">
        <f t="shared" si="24"/>
        <v>9.1402432402702086E-2</v>
      </c>
      <c r="D80" s="1" t="s">
        <v>27</v>
      </c>
      <c r="E80" s="1">
        <f t="shared" ref="E80:E81" si="28">C$20*C79+C$21*H79+M79*C$22+R79*C$23</f>
        <v>0.27999672766989081</v>
      </c>
      <c r="G80" s="1" t="s">
        <v>13</v>
      </c>
      <c r="H80" s="1">
        <f t="shared" si="25"/>
        <v>0.26239675453901984</v>
      </c>
      <c r="L80" s="1" t="s">
        <v>13</v>
      </c>
      <c r="M80" s="1">
        <f t="shared" si="26"/>
        <v>0.172166876664121</v>
      </c>
      <c r="Q80" s="1" t="s">
        <v>13</v>
      </c>
      <c r="R80" s="1">
        <f t="shared" si="27"/>
        <v>0.31932326413757922</v>
      </c>
    </row>
    <row r="81" spans="1:20" x14ac:dyDescent="0.3">
      <c r="A81" s="11"/>
      <c r="B81" s="11"/>
      <c r="C81" s="11"/>
      <c r="D81" s="11" t="s">
        <v>28</v>
      </c>
      <c r="E81" s="11">
        <f t="shared" si="28"/>
        <v>0.23044075677286027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5" spans="1:20" x14ac:dyDescent="0.3">
      <c r="B85" s="6"/>
      <c r="C85" s="2" t="s">
        <v>29</v>
      </c>
      <c r="D85" s="7"/>
      <c r="E85" s="8"/>
    </row>
    <row r="86" spans="1:20" x14ac:dyDescent="0.3">
      <c r="B86" s="9"/>
      <c r="C86" s="10" t="s">
        <v>30</v>
      </c>
      <c r="D86" s="2" t="s">
        <v>31</v>
      </c>
      <c r="E86" s="2" t="s">
        <v>32</v>
      </c>
    </row>
    <row r="87" spans="1:20" x14ac:dyDescent="0.3">
      <c r="B87" s="9" t="s">
        <v>16</v>
      </c>
      <c r="C87" s="2">
        <f>E42</f>
        <v>0.57257595152294505</v>
      </c>
      <c r="D87" s="2">
        <f>E61</f>
        <v>0.50217510937286813</v>
      </c>
      <c r="E87" s="2">
        <f>E79</f>
        <v>0.53914950805759221</v>
      </c>
    </row>
    <row r="88" spans="1:20" x14ac:dyDescent="0.3">
      <c r="B88" s="9" t="s">
        <v>17</v>
      </c>
      <c r="C88" s="2">
        <f t="shared" ref="C88:C89" si="29">E43</f>
        <v>0.12617973111466979</v>
      </c>
      <c r="D88" s="2">
        <f t="shared" ref="D88:D89" si="30">E62</f>
        <v>0.10865630572610295</v>
      </c>
      <c r="E88" s="2">
        <f t="shared" ref="E88:E89" si="31">E80</f>
        <v>0.27999672766989081</v>
      </c>
    </row>
    <row r="89" spans="1:20" x14ac:dyDescent="0.3">
      <c r="B89" s="9" t="s">
        <v>18</v>
      </c>
      <c r="C89" s="2">
        <f t="shared" si="29"/>
        <v>0.30124431736238516</v>
      </c>
      <c r="D89" s="2">
        <f t="shared" si="30"/>
        <v>0.3891685849010289</v>
      </c>
      <c r="E89" s="2">
        <f t="shared" si="31"/>
        <v>0.23044075677286027</v>
      </c>
    </row>
    <row r="91" spans="1:20" x14ac:dyDescent="0.3">
      <c r="B91" s="1" t="s">
        <v>33</v>
      </c>
      <c r="C91" s="1">
        <f>C87*0.2+D87*0.5+E87*0.3</f>
        <v>0.52734759740830073</v>
      </c>
    </row>
    <row r="92" spans="1:20" x14ac:dyDescent="0.3">
      <c r="B92" s="1" t="s">
        <v>34</v>
      </c>
      <c r="C92" s="1">
        <f t="shared" ref="C92:C93" si="32">C88*0.2+D88*0.5+E88*0.3</f>
        <v>0.16356311738695267</v>
      </c>
    </row>
    <row r="93" spans="1:20" x14ac:dyDescent="0.3">
      <c r="B93" s="1" t="s">
        <v>35</v>
      </c>
      <c r="C93" s="1">
        <f t="shared" si="32"/>
        <v>0.32396538295484956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Артем Харкевич</cp:lastModifiedBy>
  <dcterms:created xsi:type="dcterms:W3CDTF">2025-02-19T15:09:57Z</dcterms:created>
  <dcterms:modified xsi:type="dcterms:W3CDTF">2014-02-20T13:56:57Z</dcterms:modified>
</cp:coreProperties>
</file>