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martbuy P5/Файлы/саиио/3 курс/"/>
    </mc:Choice>
  </mc:AlternateContent>
  <xr:revisionPtr revIDLastSave="0" documentId="8_{184472D2-9086-374B-A5B0-56CDEE41AA23}" xr6:coauthVersionLast="47" xr6:coauthVersionMax="47" xr10:uidLastSave="{00000000-0000-0000-0000-000000000000}"/>
  <bookViews>
    <workbookView xWindow="0" yWindow="500" windowWidth="38400" windowHeight="19980" activeTab="1" xr2:uid="{E55447F1-9EE8-4581-A330-227B9F7DED38}"/>
  </bookViews>
  <sheets>
    <sheet name="Титульник" sheetId="2" r:id="rId1"/>
    <sheet name="Лаб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7" i="1" l="1"/>
  <c r="K34" i="1"/>
  <c r="K36" i="1" l="1"/>
  <c r="K35" i="1"/>
  <c r="B73" i="1" l="1"/>
  <c r="C57" i="1"/>
  <c r="B57" i="1"/>
  <c r="B36" i="1"/>
  <c r="B52" i="1"/>
  <c r="B32" i="1"/>
  <c r="C36" i="1"/>
</calcChain>
</file>

<file path=xl/sharedStrings.xml><?xml version="1.0" encoding="utf-8"?>
<sst xmlns="http://schemas.openxmlformats.org/spreadsheetml/2006/main" count="109" uniqueCount="95">
  <si>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</si>
  <si>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</si>
  <si>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</si>
  <si>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</si>
  <si>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</si>
  <si>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</si>
  <si>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</si>
  <si>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</si>
  <si>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t>Минск 2025</t>
  </si>
  <si>
    <t>ОПТИМАЛЬНОЕ РАСПРЕДЕЛЕНИЕ ПРОИЗВОДСТВЕННЫХ
МОЩНОСТЕЙ</t>
  </si>
  <si>
    <t>МОЩНОСТЕЙ</t>
  </si>
  <si>
    <t>Е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</si>
  <si>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6</t>
    </r>
  </si>
  <si>
    <t>Вариант</t>
  </si>
  <si>
    <t>B1​</t>
  </si>
  <si>
    <t>B2</t>
  </si>
  <si>
    <t>C1</t>
  </si>
  <si>
    <t>C2</t>
  </si>
  <si>
    <t>D</t>
  </si>
  <si>
    <t>K1​</t>
  </si>
  <si>
    <t>K2</t>
  </si>
  <si>
    <t>K3</t>
  </si>
  <si>
    <t>K4</t>
  </si>
  <si>
    <t>X1, X2&gt;=0</t>
  </si>
  <si>
    <t>W=X6+X7+X8-&gt;min</t>
  </si>
  <si>
    <t>X1&gt;=50</t>
  </si>
  <si>
    <t>X2&gt;=200</t>
  </si>
  <si>
    <t>5X1+2X2&gt;=6000</t>
  </si>
  <si>
    <t>E=8X1+4X2+0,1X1^2+0,1X2^2-&gt;min</t>
  </si>
  <si>
    <t>gradE=(8+0,2X1; 4+0,2X2)</t>
  </si>
  <si>
    <t>E=8X1+4X2-&gt;min</t>
  </si>
  <si>
    <t>X1-X3=50</t>
  </si>
  <si>
    <t>X2-X4=200</t>
  </si>
  <si>
    <t>5X1+2X2-X5=6000</t>
  </si>
  <si>
    <t>-E=-8X1-4X2-&gt;max</t>
  </si>
  <si>
    <t>X1-X3+X6=50</t>
  </si>
  <si>
    <t>X2-X4+X7=200</t>
  </si>
  <si>
    <t>X6=50-X1+X3</t>
  </si>
  <si>
    <t>X7=200-X2+X4</t>
  </si>
  <si>
    <t>5X1+2X2-X5+X8=6000</t>
  </si>
  <si>
    <t>X8=6000-5X1-2X2+X5</t>
  </si>
  <si>
    <t>W=-6X1-3X2+X3+X4+X5+6250-&gt;min</t>
  </si>
  <si>
    <t>-W=6X1+3X2-X3-X4-X5-6250-&gt;max</t>
  </si>
  <si>
    <t>1.</t>
  </si>
  <si>
    <t>Найдем начальное допустимое решение при помощи сиплекс-калькулятора:</t>
  </si>
  <si>
    <r>
      <t xml:space="preserve">Будем считать, что решение найдено, если переход к новому решению приводит к увеличению </t>
    </r>
    <r>
      <rPr>
        <sz val="10"/>
        <color theme="1"/>
        <rFont val="Calibri"/>
        <family val="2"/>
        <charset val="204"/>
        <scheme val="minor"/>
      </rPr>
      <t>целевой функции не более чем на 500 гр. В данной задаче целевая функция выражается в граммах, поэтому ε=0,5.</t>
    </r>
  </si>
  <si>
    <t>gradE(X(0))=</t>
  </si>
  <si>
    <t>Z=232X1+44X2-&gt;min</t>
  </si>
  <si>
    <t>-Z=-232X1-44X2-&gt;max</t>
  </si>
  <si>
    <t>'-E=-8X1-4X2-&gt;max</t>
  </si>
  <si>
    <t>Поиск решения выполняется от точки (1120, 200) к точке (50, 2875)</t>
  </si>
  <si>
    <t>Уравнение перехода</t>
  </si>
  <si>
    <t>Найдем угловое ОДР без нарушения ограничений при помощи сиплекс-калькулятора:</t>
  </si>
  <si>
    <t>Х1*=50</t>
  </si>
  <si>
    <t>Х2*=2875</t>
  </si>
  <si>
    <t>Х2 (1) = 200 + 2675λ</t>
  </si>
  <si>
    <r>
      <t>Х1 (1) = 1120 - 1070</t>
    </r>
    <r>
      <rPr>
        <sz val="11"/>
        <color theme="1"/>
        <rFont val="Calibri"/>
        <family val="2"/>
        <charset val="204"/>
      </rPr>
      <t>λ</t>
    </r>
  </si>
  <si>
    <t>λ≈0.07863</t>
  </si>
  <si>
    <t>Определяем новое решение</t>
  </si>
  <si>
    <t>х1(0)</t>
  </si>
  <si>
    <t>х2(0)</t>
  </si>
  <si>
    <t>х1(1)</t>
  </si>
  <si>
    <t>х2(1)</t>
  </si>
  <si>
    <t>410.34</t>
  </si>
  <si>
    <t>Е(1)</t>
  </si>
  <si>
    <t>г</t>
  </si>
  <si>
    <t>дельта Е = |139200 - 134068,8773|≈5131</t>
  </si>
  <si>
    <t>, =&gt; алгоритм продолжается</t>
  </si>
  <si>
    <t>Z=215,174X1+86,068X2-&gt;min</t>
  </si>
  <si>
    <t>-Z=-215,174X1-215,174X2-&gt;max</t>
  </si>
  <si>
    <t>Поиск решения выполняется от точки (215,174, 86,068) к точке (50, 2875)</t>
  </si>
  <si>
    <t>Х1*(2)=50</t>
  </si>
  <si>
    <t>Х2*(2)=2875</t>
  </si>
  <si>
    <t>Х2 (2) = 410,34 + 2464,66λ</t>
  </si>
  <si>
    <t>Х1 (2) = 1035,87−985,87λ</t>
  </si>
  <si>
    <t>E(λ)=704648,5λ^2+111,68λ+134068,72</t>
  </si>
  <si>
    <t xml:space="preserve">отсюда </t>
  </si>
  <si>
    <t>λ</t>
  </si>
  <si>
    <t>х1(2)</t>
  </si>
  <si>
    <t>х2(2)</t>
  </si>
  <si>
    <t>Е(2)</t>
  </si>
  <si>
    <t>дельта Е = |134068882 - 1340688773|≈47г</t>
  </si>
  <si>
    <t>, =&gt; алгоритм заканчивается, тк разность ц.ф. меньше заданной точности ε</t>
  </si>
  <si>
    <t>4. Графический метод</t>
  </si>
  <si>
    <t>5. Табличный процессор Excel</t>
  </si>
  <si>
    <t>X1</t>
  </si>
  <si>
    <t>X2</t>
  </si>
  <si>
    <t>Целевая функция</t>
  </si>
  <si>
    <t>Ограничения</t>
  </si>
  <si>
    <t>&gt;=</t>
  </si>
  <si>
    <t>8X1+4X2+0,1X1^2+0,1X2^2</t>
  </si>
  <si>
    <t>2. Итерация 1(угловая точка ОДР)</t>
  </si>
  <si>
    <t>Уравнение перехода к новому решению</t>
  </si>
  <si>
    <t>3. Итерация 2( градиент целевой функции в точке ОДР)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</si>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</sst>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rgb="FFF9FAFB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center"/>
    </xf>
    <xf numFmtId="0" fontId="5" fillId="0" borderId="0" xfId="1"/>
    <xf numFmtId="0" fontId="0" fillId="0" borderId="0" xfId="0" quotePrefix="1"/>
    <xf numFmtId="0" fontId="0" fillId="2" borderId="1" xfId="0" applyFill="1" applyBorder="1"/>
    <xf numFmtId="0" fontId="0" fillId="0" borderId="0" xfId="0" applyAlignment="1">
      <alignment vertical="top" wrapText="1"/>
    </xf>
    <xf numFmtId="0" fontId="8" fillId="0" borderId="0" xfId="0" applyFont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quotePrefix="1" applyBorder="1"/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2">
    <cellStyle name="Обычный" xfId="0" builtinId="0"/>
    <cellStyle name="Обычный 2" xfId="1" xr:uid="{A530B55A-0AE0-40CC-911B-C6516CE7B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594361</xdr:colOff>
      <xdr:row>5</xdr:row>
      <xdr:rowOff>15240</xdr:rowOff>
    </xdr:from>
    <xdr:to>
      <xdr:col>16</xdr:col>
      <xdr:colOff>472440</xdr:colOff>
      <xdr:row>25</xdr:row>
      <xdr:rowOff>30321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550BFBF-5E40-C908-D4D7-70E0CA50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2621" y="929640"/>
          <a:ext cx="5806439" cy="3680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B0D2-70DF-45A7-BF5A-3BC574E3FD1B}">
  <dimension ref="A1:K36"/>
  <sheetViews>
    <sheetView workbookViewId="0">
      <selection activeCell="J39" sqref="J39"/>
    </sheetView>
  </sheetViews>
  <sheetFormatPr baseColWidth="10" defaultColWidth="8.83203125" defaultRowHeight="15" x14ac:dyDescent="0.2"/>
  <sheetData>
    <row r="1" spans="1:11" ht="18" x14ac:dyDescent="0.2">
      <c r="F1" s="1" t="s">
        <v>0</v>
      </c>
      <c r="G1" s="1"/>
    </row>
    <row r="2" spans="1:11" ht="18" x14ac:dyDescent="0.2">
      <c r="F2" s="1" t="s">
        <v>1</v>
      </c>
      <c r="G2" s="1"/>
    </row>
    <row r="3" spans="1:11" ht="18" x14ac:dyDescent="0.2">
      <c r="F3" s="1" t="s">
        <v>2</v>
      </c>
      <c r="G3" s="1"/>
    </row>
    <row r="4" spans="1:11" ht="18" x14ac:dyDescent="0.2">
      <c r="G4" s="1"/>
    </row>
    <row r="5" spans="1:11" ht="18" x14ac:dyDescent="0.2">
      <c r="F5" s="1" t="s">
        <v>3</v>
      </c>
      <c r="G5" s="1"/>
    </row>
    <row r="6" spans="1:11" ht="18" x14ac:dyDescent="0.2">
      <c r="C6" s="2" t="s">
        <v>4</v>
      </c>
      <c r="G6" s="1"/>
    </row>
    <row r="7" spans="1:11" ht="18" x14ac:dyDescent="0.2">
      <c r="A7" s="1"/>
      <c r="C7" s="1"/>
    </row>
    <row r="8" spans="1:11" ht="18" x14ac:dyDescent="0.2">
      <c r="A8" s="1"/>
    </row>
    <row r="9" spans="1:11" ht="18" x14ac:dyDescent="0.2">
      <c r="A9" s="1"/>
      <c r="C9" s="3"/>
    </row>
    <row r="10" spans="1:11" ht="18" x14ac:dyDescent="0.2">
      <c r="A10" s="1"/>
      <c r="C10" s="3"/>
    </row>
    <row r="11" spans="1:11" ht="18" x14ac:dyDescent="0.2">
      <c r="A11" s="1"/>
      <c r="C11" s="3"/>
    </row>
    <row r="12" spans="1:11" ht="18" x14ac:dyDescent="0.2">
      <c r="A12" s="1"/>
      <c r="C12" s="3"/>
    </row>
    <row r="13" spans="1:11" ht="18" x14ac:dyDescent="0.2">
      <c r="C13" s="4"/>
      <c r="D13" s="1"/>
    </row>
    <row r="14" spans="1:11" ht="18" x14ac:dyDescent="0.2">
      <c r="D14" s="1"/>
      <c r="F14" s="3" t="s">
        <v>12</v>
      </c>
    </row>
    <row r="15" spans="1:11" ht="18" x14ac:dyDescent="0.2">
      <c r="C15" s="3"/>
      <c r="D15" s="1"/>
    </row>
    <row r="16" spans="1:11" ht="18" x14ac:dyDescent="0.2">
      <c r="A16" s="5"/>
      <c r="B16" s="5"/>
      <c r="C16" s="25" t="s">
        <v>9</v>
      </c>
      <c r="D16" s="25"/>
      <c r="E16" s="25"/>
      <c r="F16" s="25"/>
      <c r="G16" s="25"/>
      <c r="H16" s="25"/>
      <c r="I16" s="25"/>
      <c r="J16" s="25"/>
      <c r="K16" s="25"/>
    </row>
    <row r="17" spans="1:11" ht="18" x14ac:dyDescent="0.2">
      <c r="A17" s="1"/>
      <c r="C17" s="4"/>
      <c r="D17" s="6"/>
      <c r="E17" s="6"/>
      <c r="F17" s="6" t="s">
        <v>10</v>
      </c>
      <c r="G17" s="6"/>
      <c r="H17" s="6"/>
      <c r="I17" s="6"/>
      <c r="J17" s="6"/>
    </row>
    <row r="18" spans="1:11" ht="18" x14ac:dyDescent="0.2">
      <c r="A18" s="7"/>
      <c r="C18" s="4"/>
      <c r="E18" s="6"/>
    </row>
    <row r="19" spans="1:11" ht="18" x14ac:dyDescent="0.2">
      <c r="A19" s="7"/>
      <c r="C19" s="4"/>
    </row>
    <row r="20" spans="1:11" ht="18" x14ac:dyDescent="0.2">
      <c r="A20" s="7"/>
      <c r="C20" s="4"/>
    </row>
    <row r="21" spans="1:11" ht="18" x14ac:dyDescent="0.2">
      <c r="A21" s="7"/>
      <c r="C21" s="4"/>
    </row>
    <row r="22" spans="1:11" ht="18" x14ac:dyDescent="0.2">
      <c r="A22" s="8"/>
      <c r="C22" s="4"/>
    </row>
    <row r="23" spans="1:11" ht="18" x14ac:dyDescent="0.2">
      <c r="A23" s="8"/>
      <c r="C23" s="4"/>
    </row>
    <row r="24" spans="1:11" ht="18" x14ac:dyDescent="0.2">
      <c r="C24" s="4"/>
      <c r="K24" s="8"/>
    </row>
    <row r="25" spans="1:11" ht="18" x14ac:dyDescent="0.2">
      <c r="A25" s="7"/>
      <c r="C25" s="4"/>
    </row>
    <row r="26" spans="1:11" ht="18" x14ac:dyDescent="0.2">
      <c r="A26" s="7"/>
      <c r="B26" s="4" t="s">
        <v>5</v>
      </c>
      <c r="I26" s="4" t="s">
        <v>6</v>
      </c>
    </row>
    <row r="27" spans="1:11" ht="18" x14ac:dyDescent="0.2">
      <c r="A27" s="7"/>
      <c r="B27" s="4" t="s">
        <v>7</v>
      </c>
      <c r="I27" s="4" t="s">
        <v>94</v>
      </c>
    </row>
    <row r="28" spans="1:11" ht="18" x14ac:dyDescent="0.2">
      <c r="A28" s="7"/>
      <c r="C28" s="4"/>
      <c r="I28" s="4"/>
    </row>
    <row r="29" spans="1:11" ht="18" x14ac:dyDescent="0.2">
      <c r="A29" s="7"/>
    </row>
    <row r="30" spans="1:11" ht="18" x14ac:dyDescent="0.2">
      <c r="A30" s="9"/>
    </row>
    <row r="31" spans="1:11" ht="18" x14ac:dyDescent="0.2">
      <c r="A31" s="9"/>
    </row>
    <row r="32" spans="1:11" ht="18" x14ac:dyDescent="0.2">
      <c r="A32" s="1"/>
      <c r="C32" s="4"/>
    </row>
    <row r="33" spans="3:6" ht="18" x14ac:dyDescent="0.2">
      <c r="C33" s="4"/>
    </row>
    <row r="34" spans="3:6" ht="18" x14ac:dyDescent="0.2">
      <c r="C34" s="4"/>
    </row>
    <row r="35" spans="3:6" ht="18" x14ac:dyDescent="0.2">
      <c r="C35" s="4"/>
    </row>
    <row r="36" spans="3:6" ht="18" x14ac:dyDescent="0.2">
      <c r="F36" s="3" t="s">
        <v>8</v>
      </c>
    </row>
  </sheetData>
  <mergeCells count="1">
    <mergeCell ref="C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1EE-E7F7-432A-9063-7C8A80A30CC6}">
  <dimension ref="A1:M75"/>
  <sheetViews>
    <sheetView tabSelected="1" topLeftCell="A48" zoomScaleNormal="100" workbookViewId="0">
      <selection activeCell="T20" sqref="T20"/>
    </sheetView>
  </sheetViews>
  <sheetFormatPr baseColWidth="10" defaultColWidth="8.83203125" defaultRowHeight="15" x14ac:dyDescent="0.2"/>
  <cols>
    <col min="1" max="1" width="10.83203125" customWidth="1"/>
    <col min="2" max="2" width="13.83203125" customWidth="1"/>
    <col min="3" max="3" width="10" customWidth="1"/>
    <col min="4" max="4" width="10.1640625" customWidth="1"/>
    <col min="5" max="5" width="9.83203125" customWidth="1"/>
    <col min="6" max="6" width="10.1640625" customWidth="1"/>
    <col min="7" max="7" width="9.83203125" customWidth="1"/>
    <col min="13" max="13" width="10.83203125" customWidth="1"/>
    <col min="14" max="14" width="10.5" customWidth="1"/>
    <col min="15" max="15" width="10.1640625" customWidth="1"/>
    <col min="16" max="16" width="10.5" customWidth="1"/>
    <col min="17" max="17" width="10.1640625" customWidth="1"/>
  </cols>
  <sheetData>
    <row r="1" spans="1:10" x14ac:dyDescent="0.2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</row>
    <row r="2" spans="1:10" x14ac:dyDescent="0.2">
      <c r="A2" s="10">
        <v>7</v>
      </c>
      <c r="B2" s="10">
        <v>50</v>
      </c>
      <c r="C2" s="10">
        <v>200</v>
      </c>
      <c r="D2" s="10">
        <v>5</v>
      </c>
      <c r="E2" s="10">
        <v>2</v>
      </c>
      <c r="F2" s="10">
        <v>6</v>
      </c>
      <c r="G2" s="10">
        <v>8</v>
      </c>
      <c r="H2" s="10">
        <v>4</v>
      </c>
      <c r="I2" s="10">
        <v>0.1</v>
      </c>
      <c r="J2" s="10">
        <v>0.1</v>
      </c>
    </row>
    <row r="4" spans="1:10" x14ac:dyDescent="0.2">
      <c r="A4" t="s">
        <v>43</v>
      </c>
      <c r="B4" t="s">
        <v>25</v>
      </c>
    </row>
    <row r="5" spans="1:10" x14ac:dyDescent="0.2">
      <c r="B5" t="s">
        <v>26</v>
      </c>
      <c r="I5" t="s">
        <v>83</v>
      </c>
    </row>
    <row r="6" spans="1:10" x14ac:dyDescent="0.2">
      <c r="B6" t="s">
        <v>27</v>
      </c>
    </row>
    <row r="7" spans="1:10" x14ac:dyDescent="0.2">
      <c r="B7" t="s">
        <v>23</v>
      </c>
    </row>
    <row r="8" spans="1:10" x14ac:dyDescent="0.2">
      <c r="B8" t="s">
        <v>28</v>
      </c>
    </row>
    <row r="10" spans="1:10" x14ac:dyDescent="0.2">
      <c r="B10" t="s">
        <v>29</v>
      </c>
    </row>
    <row r="11" spans="1:10" ht="16" thickBot="1" x14ac:dyDescent="0.25"/>
    <row r="12" spans="1:10" x14ac:dyDescent="0.2">
      <c r="A12" s="16"/>
      <c r="B12" s="17" t="s">
        <v>30</v>
      </c>
      <c r="C12" s="17"/>
      <c r="D12" s="17"/>
      <c r="E12" s="17"/>
      <c r="F12" s="18"/>
    </row>
    <row r="13" spans="1:10" x14ac:dyDescent="0.2">
      <c r="A13" s="19"/>
      <c r="F13" s="20"/>
    </row>
    <row r="14" spans="1:10" x14ac:dyDescent="0.2">
      <c r="A14" s="19"/>
      <c r="B14" t="s">
        <v>31</v>
      </c>
      <c r="F14" s="20"/>
    </row>
    <row r="15" spans="1:10" x14ac:dyDescent="0.2">
      <c r="A15" s="19"/>
      <c r="B15" t="s">
        <v>32</v>
      </c>
      <c r="F15" s="20"/>
    </row>
    <row r="16" spans="1:10" x14ac:dyDescent="0.2">
      <c r="A16" s="19"/>
      <c r="B16" t="s">
        <v>33</v>
      </c>
      <c r="F16" s="20"/>
    </row>
    <row r="17" spans="1:12" x14ac:dyDescent="0.2">
      <c r="A17" s="19"/>
      <c r="B17" s="11" t="s">
        <v>34</v>
      </c>
      <c r="F17" s="20"/>
    </row>
    <row r="18" spans="1:12" x14ac:dyDescent="0.2">
      <c r="A18" s="19"/>
      <c r="F18" s="20"/>
    </row>
    <row r="19" spans="1:12" x14ac:dyDescent="0.2">
      <c r="A19" s="19"/>
      <c r="B19" t="s">
        <v>35</v>
      </c>
      <c r="F19" s="20"/>
    </row>
    <row r="20" spans="1:12" x14ac:dyDescent="0.2">
      <c r="A20" s="19"/>
      <c r="B20" t="s">
        <v>36</v>
      </c>
      <c r="F20" s="20"/>
    </row>
    <row r="21" spans="1:12" x14ac:dyDescent="0.2">
      <c r="A21" s="19"/>
      <c r="B21" t="s">
        <v>39</v>
      </c>
      <c r="F21" s="20"/>
    </row>
    <row r="22" spans="1:12" x14ac:dyDescent="0.2">
      <c r="A22" s="19"/>
      <c r="B22" t="s">
        <v>24</v>
      </c>
      <c r="F22" s="20"/>
    </row>
    <row r="23" spans="1:12" x14ac:dyDescent="0.2">
      <c r="A23" s="19"/>
      <c r="F23" s="20"/>
    </row>
    <row r="24" spans="1:12" x14ac:dyDescent="0.2">
      <c r="A24" s="19"/>
      <c r="B24" t="s">
        <v>37</v>
      </c>
      <c r="F24" s="20"/>
    </row>
    <row r="25" spans="1:12" x14ac:dyDescent="0.2">
      <c r="A25" s="19"/>
      <c r="B25" t="s">
        <v>38</v>
      </c>
      <c r="F25" s="20"/>
    </row>
    <row r="26" spans="1:12" x14ac:dyDescent="0.2">
      <c r="A26" s="19"/>
      <c r="B26" t="s">
        <v>40</v>
      </c>
      <c r="F26" s="20"/>
    </row>
    <row r="27" spans="1:12" x14ac:dyDescent="0.2">
      <c r="A27" s="19"/>
      <c r="B27" t="s">
        <v>41</v>
      </c>
      <c r="F27" s="20"/>
    </row>
    <row r="28" spans="1:12" ht="16" thickBot="1" x14ac:dyDescent="0.25">
      <c r="A28" s="21"/>
      <c r="B28" s="22" t="s">
        <v>42</v>
      </c>
      <c r="C28" s="23"/>
      <c r="D28" s="23"/>
      <c r="E28" s="23" t="s">
        <v>49</v>
      </c>
      <c r="F28" s="24"/>
    </row>
    <row r="29" spans="1:12" ht="16" thickBot="1" x14ac:dyDescent="0.25">
      <c r="A29" t="s">
        <v>44</v>
      </c>
    </row>
    <row r="30" spans="1:12" ht="14.5" customHeight="1" x14ac:dyDescent="0.2">
      <c r="A30" s="12" t="s">
        <v>59</v>
      </c>
      <c r="B30" s="12">
        <v>1120</v>
      </c>
      <c r="E30" s="26" t="s">
        <v>45</v>
      </c>
      <c r="F30" s="27"/>
      <c r="G30" s="27"/>
      <c r="H30" s="28"/>
      <c r="I30" t="s">
        <v>84</v>
      </c>
    </row>
    <row r="31" spans="1:12" x14ac:dyDescent="0.2">
      <c r="A31" s="12" t="s">
        <v>60</v>
      </c>
      <c r="B31" s="12">
        <v>200</v>
      </c>
      <c r="E31" s="29"/>
      <c r="F31" s="30"/>
      <c r="G31" s="30"/>
      <c r="H31" s="31"/>
    </row>
    <row r="32" spans="1:12" x14ac:dyDescent="0.2">
      <c r="A32" s="12" t="s">
        <v>11</v>
      </c>
      <c r="B32" s="12">
        <f>8*B30+4*B31+0.1*B30*B30+0.1*B31*B31</f>
        <v>139200</v>
      </c>
      <c r="C32" t="s">
        <v>65</v>
      </c>
      <c r="E32" s="29"/>
      <c r="F32" s="30"/>
      <c r="G32" s="30"/>
      <c r="H32" s="31"/>
      <c r="K32" t="s">
        <v>85</v>
      </c>
      <c r="L32" t="s">
        <v>86</v>
      </c>
    </row>
    <row r="33" spans="1:13" x14ac:dyDescent="0.2">
      <c r="E33" s="29"/>
      <c r="F33" s="30"/>
      <c r="G33" s="30"/>
      <c r="H33" s="31"/>
      <c r="K33">
        <v>1035.9480000000001</v>
      </c>
      <c r="L33">
        <v>410.14499999999998</v>
      </c>
    </row>
    <row r="34" spans="1:13" ht="16" thickBot="1" x14ac:dyDescent="0.25">
      <c r="E34" s="32"/>
      <c r="F34" s="33"/>
      <c r="G34" s="33"/>
      <c r="H34" s="34"/>
      <c r="J34" t="s">
        <v>87</v>
      </c>
      <c r="K34">
        <f>8*K33+4*L33+0.1*K33^2+0.1*L33^2</f>
        <v>134068.88197290001</v>
      </c>
    </row>
    <row r="35" spans="1:13" x14ac:dyDescent="0.2">
      <c r="A35" t="s">
        <v>91</v>
      </c>
      <c r="E35" s="13"/>
      <c r="F35" s="13"/>
      <c r="G35" s="13"/>
      <c r="H35" s="13"/>
      <c r="J35" t="s">
        <v>88</v>
      </c>
      <c r="K35">
        <f>K33</f>
        <v>1035.9480000000001</v>
      </c>
      <c r="L35" t="s">
        <v>89</v>
      </c>
      <c r="M35">
        <v>50</v>
      </c>
    </row>
    <row r="36" spans="1:13" x14ac:dyDescent="0.2">
      <c r="A36" t="s">
        <v>46</v>
      </c>
      <c r="B36">
        <f>8+0.2*B30</f>
        <v>232</v>
      </c>
      <c r="C36">
        <f>4+0.2*B31</f>
        <v>44</v>
      </c>
      <c r="E36" s="13"/>
      <c r="F36" s="13"/>
      <c r="G36" s="13"/>
      <c r="H36" s="13"/>
      <c r="K36">
        <f>L33</f>
        <v>410.14499999999998</v>
      </c>
      <c r="L36" t="s">
        <v>89</v>
      </c>
      <c r="M36">
        <v>200</v>
      </c>
    </row>
    <row r="37" spans="1:13" x14ac:dyDescent="0.2">
      <c r="A37" t="s">
        <v>47</v>
      </c>
      <c r="K37">
        <f>5*K33+2*L33</f>
        <v>6000.0300000000007</v>
      </c>
      <c r="L37" t="s">
        <v>89</v>
      </c>
      <c r="M37">
        <v>6000</v>
      </c>
    </row>
    <row r="38" spans="1:13" ht="16" thickBot="1" x14ac:dyDescent="0.25">
      <c r="A38" s="11" t="s">
        <v>48</v>
      </c>
    </row>
    <row r="39" spans="1:13" x14ac:dyDescent="0.2">
      <c r="A39" s="16" t="s">
        <v>37</v>
      </c>
      <c r="B39" s="18"/>
    </row>
    <row r="40" spans="1:13" x14ac:dyDescent="0.2">
      <c r="A40" s="19" t="s">
        <v>38</v>
      </c>
      <c r="B40" s="20"/>
      <c r="J40" t="s">
        <v>90</v>
      </c>
    </row>
    <row r="41" spans="1:13" ht="16" thickBot="1" x14ac:dyDescent="0.25">
      <c r="A41" s="21" t="s">
        <v>40</v>
      </c>
      <c r="B41" s="24"/>
    </row>
    <row r="42" spans="1:13" x14ac:dyDescent="0.2">
      <c r="A42" t="s">
        <v>52</v>
      </c>
    </row>
    <row r="43" spans="1:13" x14ac:dyDescent="0.2">
      <c r="A43" s="12" t="s">
        <v>53</v>
      </c>
      <c r="B43" s="12" t="s">
        <v>54</v>
      </c>
    </row>
    <row r="44" spans="1:13" x14ac:dyDescent="0.2">
      <c r="A44" t="s">
        <v>50</v>
      </c>
    </row>
    <row r="45" spans="1:13" x14ac:dyDescent="0.2">
      <c r="A45" t="s">
        <v>92</v>
      </c>
    </row>
    <row r="46" spans="1:13" x14ac:dyDescent="0.2">
      <c r="A46" t="s">
        <v>56</v>
      </c>
    </row>
    <row r="47" spans="1:13" x14ac:dyDescent="0.2">
      <c r="A47" t="s">
        <v>55</v>
      </c>
    </row>
    <row r="48" spans="1:13" x14ac:dyDescent="0.2">
      <c r="A48" s="12" t="s">
        <v>57</v>
      </c>
    </row>
    <row r="49" spans="1:4" x14ac:dyDescent="0.2">
      <c r="A49" t="s">
        <v>58</v>
      </c>
    </row>
    <row r="50" spans="1:4" ht="16" x14ac:dyDescent="0.2">
      <c r="A50" s="12" t="s">
        <v>61</v>
      </c>
      <c r="B50" s="12">
        <v>1035.8699999999999</v>
      </c>
      <c r="D50" s="14" t="s">
        <v>63</v>
      </c>
    </row>
    <row r="51" spans="1:4" x14ac:dyDescent="0.2">
      <c r="A51" s="12" t="s">
        <v>62</v>
      </c>
      <c r="B51" s="12">
        <v>410.34</v>
      </c>
    </row>
    <row r="52" spans="1:4" x14ac:dyDescent="0.2">
      <c r="A52" s="12" t="s">
        <v>64</v>
      </c>
      <c r="B52" s="12">
        <f>8*B50+4*B51+0.1*B50*B50+0.1*B51*B51</f>
        <v>134068.87724999996</v>
      </c>
      <c r="C52" t="s">
        <v>65</v>
      </c>
    </row>
    <row r="54" spans="1:4" x14ac:dyDescent="0.2">
      <c r="A54" t="s">
        <v>66</v>
      </c>
      <c r="D54" t="s">
        <v>67</v>
      </c>
    </row>
    <row r="56" spans="1:4" x14ac:dyDescent="0.2">
      <c r="A56" t="s">
        <v>93</v>
      </c>
    </row>
    <row r="57" spans="1:4" x14ac:dyDescent="0.2">
      <c r="A57" t="s">
        <v>46</v>
      </c>
      <c r="B57">
        <f>8+0.2*B50</f>
        <v>215.17399999999998</v>
      </c>
      <c r="C57">
        <f>4+0.2*B51</f>
        <v>86.067999999999998</v>
      </c>
    </row>
    <row r="58" spans="1:4" x14ac:dyDescent="0.2">
      <c r="A58" t="s">
        <v>68</v>
      </c>
    </row>
    <row r="59" spans="1:4" ht="16" thickBot="1" x14ac:dyDescent="0.25">
      <c r="A59" s="11" t="s">
        <v>69</v>
      </c>
    </row>
    <row r="60" spans="1:4" x14ac:dyDescent="0.2">
      <c r="A60" s="16" t="s">
        <v>37</v>
      </c>
      <c r="B60" s="18"/>
    </row>
    <row r="61" spans="1:4" x14ac:dyDescent="0.2">
      <c r="A61" s="19" t="s">
        <v>38</v>
      </c>
      <c r="B61" s="20"/>
    </row>
    <row r="62" spans="1:4" ht="16" thickBot="1" x14ac:dyDescent="0.25">
      <c r="A62" s="21" t="s">
        <v>40</v>
      </c>
      <c r="B62" s="24"/>
    </row>
    <row r="63" spans="1:4" x14ac:dyDescent="0.2">
      <c r="A63" t="s">
        <v>52</v>
      </c>
    </row>
    <row r="64" spans="1:4" x14ac:dyDescent="0.2">
      <c r="A64" s="12" t="s">
        <v>71</v>
      </c>
      <c r="B64" s="12" t="s">
        <v>72</v>
      </c>
    </row>
    <row r="65" spans="1:6" x14ac:dyDescent="0.2">
      <c r="A65" t="s">
        <v>70</v>
      </c>
    </row>
    <row r="66" spans="1:6" x14ac:dyDescent="0.2">
      <c r="A66" t="s">
        <v>51</v>
      </c>
    </row>
    <row r="67" spans="1:6" x14ac:dyDescent="0.2">
      <c r="A67" t="s">
        <v>74</v>
      </c>
    </row>
    <row r="68" spans="1:6" x14ac:dyDescent="0.2">
      <c r="A68" t="s">
        <v>73</v>
      </c>
    </row>
    <row r="69" spans="1:6" x14ac:dyDescent="0.2">
      <c r="A69" s="15" t="s">
        <v>75</v>
      </c>
      <c r="D69" t="s">
        <v>76</v>
      </c>
      <c r="E69" t="s">
        <v>77</v>
      </c>
      <c r="F69">
        <v>7.8999999999999996E-5</v>
      </c>
    </row>
    <row r="70" spans="1:6" x14ac:dyDescent="0.2">
      <c r="A70" t="s">
        <v>58</v>
      </c>
    </row>
    <row r="71" spans="1:6" ht="16" x14ac:dyDescent="0.2">
      <c r="A71" s="12" t="s">
        <v>78</v>
      </c>
      <c r="B71" s="12">
        <v>1035.9480000000001</v>
      </c>
      <c r="D71" s="14" t="s">
        <v>63</v>
      </c>
    </row>
    <row r="72" spans="1:6" x14ac:dyDescent="0.2">
      <c r="A72" s="12" t="s">
        <v>79</v>
      </c>
      <c r="B72" s="12">
        <v>410.14499999999998</v>
      </c>
    </row>
    <row r="73" spans="1:6" x14ac:dyDescent="0.2">
      <c r="A73" s="12" t="s">
        <v>80</v>
      </c>
      <c r="B73" s="12">
        <f>8*B71+4*B72+0.1*B71*B71+0.1*B72*B72</f>
        <v>134068.88197290004</v>
      </c>
      <c r="C73" t="s">
        <v>65</v>
      </c>
    </row>
    <row r="75" spans="1:6" x14ac:dyDescent="0.2">
      <c r="A75" t="s">
        <v>81</v>
      </c>
      <c r="E75" t="s">
        <v>82</v>
      </c>
    </row>
  </sheetData>
  <mergeCells count="1">
    <mergeCell ref="E30:H34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Лаба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2025-10-14T15:38:59Z</dcterms:created>
  <dcterms:modified xsi:type="dcterms:W3CDTF">2026-01-12T16:32:41Z</dcterms:modified>
</cp:coreProperties>
</file>