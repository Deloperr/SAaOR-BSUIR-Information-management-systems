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ryae/Downloads/"/>
    </mc:Choice>
  </mc:AlternateContent>
  <xr:revisionPtr revIDLastSave="0" documentId="8_{34A09681-8D5F-464C-80E1-FBF38EC4D385}" xr6:coauthVersionLast="47" xr6:coauthVersionMax="47" xr10:uidLastSave="{00000000-0000-0000-0000-000000000000}"/>
  <bookViews>
    <workbookView xWindow="0" yWindow="500" windowWidth="36000" windowHeight="19980" activeTab="3" xr2:uid="{E55447F1-9EE8-4581-A330-227B9F7DED38}"/>
  </bookViews>
  <sheets>
    <sheet name="Титульник" sheetId="2" r:id="rId1"/>
    <sheet name="Лаба" sheetId="1" r:id="rId2"/>
    <sheet name="Станок А" sheetId="3" r:id="rId3"/>
    <sheet name="Станки В1-В2" sheetId="4" r:id="rId4"/>
    <sheet name="Станок С" sheetId="5" r:id="rId5"/>
    <sheet name="Прибыль8ч" sheetId="6" r:id="rId6"/>
    <sheet name="Новое условие А" sheetId="7" r:id="rId7"/>
    <sheet name="Новое условие В" sheetId="8" r:id="rId8"/>
    <sheet name="Новое условие С" sheetId="9" r:id="rId9"/>
    <sheet name="Новая_Прибыль" sheetId="12" r:id="rId10"/>
    <sheet name="Сравнение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7" l="1"/>
  <c r="C32" i="3"/>
  <c r="H3" i="13" l="1"/>
  <c r="F4" i="13"/>
  <c r="F3" i="13"/>
  <c r="E3" i="13"/>
  <c r="C3" i="13"/>
  <c r="C4" i="13"/>
  <c r="C10" i="8"/>
  <c r="C14" i="3" l="1"/>
  <c r="C10" i="4" l="1"/>
  <c r="C26" i="4" s="1"/>
  <c r="C15" i="9"/>
  <c r="H4" i="13" s="1"/>
  <c r="C10" i="9"/>
  <c r="C13" i="8"/>
  <c r="C26" i="8"/>
  <c r="C12" i="7"/>
  <c r="C15" i="7"/>
  <c r="C15" i="5"/>
  <c r="E4" i="13" s="1"/>
  <c r="C10" i="5"/>
  <c r="C13" i="4"/>
  <c r="C17" i="3"/>
  <c r="D5" i="13" l="1"/>
  <c r="C16" i="4"/>
  <c r="C17" i="4" s="1"/>
  <c r="G5" i="13"/>
  <c r="C16" i="8"/>
  <c r="C28" i="7"/>
  <c r="C22" i="7" s="1"/>
  <c r="F8" i="13" s="1"/>
  <c r="C27" i="7"/>
  <c r="C30" i="3"/>
  <c r="C20" i="4"/>
  <c r="D8" i="13" s="1"/>
  <c r="C29" i="3"/>
  <c r="C18" i="4" l="1"/>
  <c r="D3" i="13"/>
  <c r="C7" i="5"/>
  <c r="C22" i="5" s="1"/>
  <c r="C24" i="3"/>
  <c r="C8" i="13" s="1"/>
  <c r="C5" i="13"/>
  <c r="C21" i="7"/>
  <c r="C27" i="4"/>
  <c r="C13" i="13" s="1"/>
  <c r="D2" i="13"/>
  <c r="B14" i="6"/>
  <c r="C10" i="13"/>
  <c r="C27" i="8"/>
  <c r="F13" i="13" s="1"/>
  <c r="G2" i="13"/>
  <c r="C20" i="8"/>
  <c r="G8" i="13" s="1"/>
  <c r="C17" i="8"/>
  <c r="F10" i="13"/>
  <c r="B15" i="12"/>
  <c r="C23" i="7"/>
  <c r="F7" i="13" s="1"/>
  <c r="B19" i="12"/>
  <c r="F6" i="13"/>
  <c r="C18" i="7"/>
  <c r="F2" i="13" s="1"/>
  <c r="F5" i="13"/>
  <c r="C23" i="5"/>
  <c r="C25" i="7"/>
  <c r="C20" i="3"/>
  <c r="C2" i="13" s="1"/>
  <c r="C23" i="3"/>
  <c r="C27" i="3"/>
  <c r="C25" i="3" l="1"/>
  <c r="C26" i="3" s="1"/>
  <c r="C9" i="13" s="1"/>
  <c r="C6" i="13"/>
  <c r="D14" i="6"/>
  <c r="E10" i="13"/>
  <c r="C18" i="8"/>
  <c r="G3" i="13"/>
  <c r="C7" i="9"/>
  <c r="C17" i="5"/>
  <c r="E8" i="13" s="1"/>
  <c r="E5" i="13"/>
  <c r="C19" i="4"/>
  <c r="D4" i="13"/>
  <c r="C28" i="3"/>
  <c r="C12" i="13" s="1"/>
  <c r="C11" i="13"/>
  <c r="C26" i="7"/>
  <c r="F12" i="13" s="1"/>
  <c r="F11" i="13"/>
  <c r="C16" i="5"/>
  <c r="C13" i="5"/>
  <c r="E2" i="13" s="1"/>
  <c r="C24" i="7"/>
  <c r="F9" i="13" s="1"/>
  <c r="C18" i="5" l="1"/>
  <c r="E6" i="13"/>
  <c r="D6" i="13"/>
  <c r="C21" i="4"/>
  <c r="G4" i="13"/>
  <c r="C19" i="8"/>
  <c r="C22" i="9"/>
  <c r="C23" i="9"/>
  <c r="C20" i="5"/>
  <c r="B18" i="6"/>
  <c r="C7" i="13"/>
  <c r="H10" i="13" l="1"/>
  <c r="D15" i="12"/>
  <c r="C13" i="9"/>
  <c r="H2" i="13" s="1"/>
  <c r="C17" i="9"/>
  <c r="C16" i="9"/>
  <c r="C18" i="9" s="1"/>
  <c r="H9" i="13"/>
  <c r="H5" i="13"/>
  <c r="D7" i="13"/>
  <c r="C25" i="4"/>
  <c r="C18" i="6"/>
  <c r="C22" i="4"/>
  <c r="D9" i="13" s="1"/>
  <c r="C21" i="5"/>
  <c r="E12" i="13" s="1"/>
  <c r="E11" i="13"/>
  <c r="C21" i="8"/>
  <c r="G6" i="13"/>
  <c r="D18" i="6"/>
  <c r="E7" i="13"/>
  <c r="C19" i="5"/>
  <c r="E9" i="13" s="1"/>
  <c r="C14" i="6" l="1"/>
  <c r="D10" i="13"/>
  <c r="C23" i="4"/>
  <c r="D19" i="12"/>
  <c r="H7" i="13"/>
  <c r="H6" i="13"/>
  <c r="E7" i="6"/>
  <c r="H8" i="13"/>
  <c r="C19" i="9"/>
  <c r="C20" i="9"/>
  <c r="C25" i="8"/>
  <c r="C19" i="12"/>
  <c r="E8" i="12" s="1"/>
  <c r="G7" i="13"/>
  <c r="C22" i="8"/>
  <c r="G9" i="13" s="1"/>
  <c r="C21" i="9" l="1"/>
  <c r="H12" i="13" s="1"/>
  <c r="H11" i="13"/>
  <c r="C15" i="12"/>
  <c r="G10" i="13"/>
  <c r="C23" i="8"/>
  <c r="C24" i="4"/>
  <c r="D12" i="13" s="1"/>
  <c r="D11" i="13"/>
  <c r="E5" i="6"/>
  <c r="E3" i="6"/>
  <c r="E21" i="6" s="1"/>
  <c r="C14" i="13" s="1"/>
  <c r="E6" i="12" l="1"/>
  <c r="E4" i="12"/>
  <c r="E22" i="12" s="1"/>
  <c r="F14" i="13" s="1"/>
  <c r="C24" i="8"/>
  <c r="G12" i="13" s="1"/>
  <c r="G11" i="13"/>
</calcChain>
</file>

<file path=xl/sharedStrings.xml><?xml version="1.0" encoding="utf-8"?>
<sst xmlns="http://schemas.openxmlformats.org/spreadsheetml/2006/main" count="309" uniqueCount="133">
  <si>
    <t>Министерство образования Республики Беларусь</t>
  </si>
  <si>
    <t>Учреждение образования</t>
  </si>
  <si>
    <t>«Белорусский государственный университет информатики и радиоэлектроники»</t>
  </si>
  <si>
    <t>Факультет информационных технологий и управления</t>
  </si>
  <si>
    <t>Кафедра информационных технологий автоматизированных систем</t>
  </si>
  <si>
    <t>Проверил:</t>
  </si>
  <si>
    <t>Выполнил:</t>
  </si>
  <si>
    <t>Протченко Е.В.</t>
  </si>
  <si>
    <t>Минск 2025</t>
  </si>
  <si>
    <t>РЕШЕНИЕ ЗАДАЧ ОПТИМИЗАЦИИ</t>
  </si>
  <si>
    <r>
      <t xml:space="preserve">Лабораторная работа </t>
    </r>
    <r>
      <rPr>
        <sz val="14"/>
        <color theme="1"/>
        <rFont val="Times New Roman"/>
        <family val="1"/>
        <charset val="204"/>
      </rPr>
      <t>№ 8</t>
    </r>
  </si>
  <si>
    <t>НА ОСНОВЕ МОДЕЛЕЙ МАССОВОГО ОБСЛУЖИВАНИЯ</t>
  </si>
  <si>
    <t xml:space="preserve"> Найти характеристики работы станка A</t>
  </si>
  <si>
    <t>A</t>
  </si>
  <si>
    <t>Работа</t>
  </si>
  <si>
    <t>Простой</t>
  </si>
  <si>
    <t>Параметры станка А</t>
  </si>
  <si>
    <t>Интенсивность потока заявок, дет/мин.</t>
  </si>
  <si>
    <t>Количество каналов</t>
  </si>
  <si>
    <t xml:space="preserve">m = </t>
  </si>
  <si>
    <t>Среднее время обслуживания заявки</t>
  </si>
  <si>
    <t xml:space="preserve">x̅ = </t>
  </si>
  <si>
    <t>Интенвивность обсл. заявок, дет/мин.</t>
  </si>
  <si>
    <t>µ = 1/x̅ =</t>
  </si>
  <si>
    <t>Характеристики станка А</t>
  </si>
  <si>
    <t>Вероятность простоя, Ро</t>
  </si>
  <si>
    <t>1 - ρ=</t>
  </si>
  <si>
    <t>Вероятность отказа, Ротк</t>
  </si>
  <si>
    <t>Вероятность обслуживания, Робсл</t>
  </si>
  <si>
    <t>Коэф.загрузки, U</t>
  </si>
  <si>
    <t>ρ =</t>
  </si>
  <si>
    <t xml:space="preserve">Средняя длина очереди, q̅ </t>
  </si>
  <si>
    <t xml:space="preserve">Среднее число занятый каналов, S̅ </t>
  </si>
  <si>
    <t>m*U=</t>
  </si>
  <si>
    <t xml:space="preserve">На обслуживании в очереди, k̅ </t>
  </si>
  <si>
    <t>q̅  + S̅  =</t>
  </si>
  <si>
    <t xml:space="preserve">Среднее время ожидания обслучивания, w̅ </t>
  </si>
  <si>
    <t xml:space="preserve">В очереди и на обслуживании, t̅ </t>
  </si>
  <si>
    <t>w̅  + x̅  =</t>
  </si>
  <si>
    <t xml:space="preserve">𝜆  = </t>
  </si>
  <si>
    <t>Нагрузка на канал, ρ</t>
  </si>
  <si>
    <t>𝜆 / (m*µ)=</t>
  </si>
  <si>
    <t>Коэфф вариации интервалов времени между заявками, v</t>
  </si>
  <si>
    <t>σ/x̅  =</t>
  </si>
  <si>
    <t>Коэфф вариации времени обслуживания, ε</t>
  </si>
  <si>
    <t>На участке выпускаются детали двух видов. Интервалы времени между моментами поступления заготовок для выпуска деталей примерно постоянные и составляют 5 минут. Все заготовки обрабатываются на станке А; время обработки на станке составляет 4±2 минуты.</t>
  </si>
  <si>
    <t>Прочие расходы, связанные с выпуском деталей, следующие: деталь типа 1 – 4 д.е., деталь типа 2 – 10 д.е. (включая расходы на выпуск детали типа 1). Детали типа 1 продаются по цене 8 д.е., типа 2 – 45 д.е.</t>
  </si>
  <si>
    <t xml:space="preserve">𝜆 =  1/5=  </t>
  </si>
  <si>
    <t>(2+6)/2=4</t>
  </si>
  <si>
    <t xml:space="preserve">Среднее число занятых каналов, S̅ </t>
  </si>
  <si>
    <t>регулярный поток</t>
  </si>
  <si>
    <r>
      <t>(ρ^2*(v^2+</t>
    </r>
    <r>
      <rPr>
        <sz val="11"/>
        <rFont val="Aptos Narrow"/>
        <family val="2"/>
      </rPr>
      <t>ε^2))/ (2*(1-ρ))</t>
    </r>
    <r>
      <rPr>
        <sz val="11"/>
        <rFont val="Calibri"/>
        <family val="2"/>
        <scheme val="minor"/>
      </rPr>
      <t xml:space="preserve"> =</t>
    </r>
  </si>
  <si>
    <r>
      <t xml:space="preserve">q̅  / </t>
    </r>
    <r>
      <rPr>
        <sz val="12"/>
        <rFont val="Times New Roman"/>
        <family val="1"/>
        <charset val="204"/>
      </rPr>
      <t>γ</t>
    </r>
    <r>
      <rPr>
        <sz val="12"/>
        <rFont val="Aptos Narrow"/>
        <family val="2"/>
        <charset val="204"/>
      </rPr>
      <t xml:space="preserve"> </t>
    </r>
    <r>
      <rPr>
        <sz val="11"/>
        <rFont val="Calibri"/>
        <family val="2"/>
        <charset val="204"/>
        <scheme val="minor"/>
      </rPr>
      <t xml:space="preserve">= </t>
    </r>
  </si>
  <si>
    <r>
      <t xml:space="preserve">Пропускная способность, </t>
    </r>
    <r>
      <rPr>
        <sz val="12"/>
        <rFont val="Times New Roman"/>
        <family val="1"/>
        <charset val="204"/>
      </rPr>
      <t>γ</t>
    </r>
  </si>
  <si>
    <t>Найти характеристики работы группы станков B1-B2 (8.13, 8.4, 8.9). Поток деталей на эту группу станков считать пуассоновским.</t>
  </si>
  <si>
    <t xml:space="preserve">Детали типа 1 со станка A поступают на два одинаковых станка (B1 и B2); </t>
  </si>
  <si>
    <t>Параметры станков В1-В2</t>
  </si>
  <si>
    <t>Интенсивность потока заявок, дет/мин</t>
  </si>
  <si>
    <t>Интенвивность обсл. заявок, дет/мин</t>
  </si>
  <si>
    <t>Характеристики станков В1-В2</t>
  </si>
  <si>
    <t>(mρ)^(m+n)/(m^n⋅m!) *P0 =</t>
  </si>
  <si>
    <t>1-Ротк=</t>
  </si>
  <si>
    <t>ρ * (1-Ротк) =</t>
  </si>
  <si>
    <t>((mρ)^(m+1)∗P_0)/(m⋅m!)∗(1-(n+1) ρ^n+nρ^(n+1))/(1-ρ)^2 =</t>
  </si>
  <si>
    <t xml:space="preserve">µ * S̅   = </t>
  </si>
  <si>
    <t>&lt;1</t>
  </si>
  <si>
    <t>5.Вероятность отсутствия очереди,            Р(j≤1)</t>
  </si>
  <si>
    <t>P0+P(1)=P0+(mρ)^(m−1)/((m−1)!) P0 =</t>
  </si>
  <si>
    <t>Время обработки одной детали на этих станках распределено по экспоненциальному закону и составляет в среднем 20 минут. Перед станками В1 и В2 установлен общий накопитель, вмещающий пять деталей.</t>
  </si>
  <si>
    <t>Параметры станков C</t>
  </si>
  <si>
    <t xml:space="preserve">P𝜆 =  </t>
  </si>
  <si>
    <t>Характеристики станков C</t>
  </si>
  <si>
    <t>(ρ^2*(v^2+ε^2))/ (2*(1-ρ))=</t>
  </si>
  <si>
    <t xml:space="preserve">𝜆 = </t>
  </si>
  <si>
    <t>Перед станками В1 и В2 установлен общий накопитель, вмещающий пять деталей; при его заполнении все поступающие детали типа 1 направляются на станок С, на котором обработка занимает в среднем 6 минут (экспоненциальная случайная величина).</t>
  </si>
  <si>
    <r>
      <t xml:space="preserve">1 - </t>
    </r>
    <r>
      <rPr>
        <sz val="11"/>
        <rFont val="Times New Roman"/>
        <family val="1"/>
        <charset val="204"/>
      </rPr>
      <t xml:space="preserve">ρ </t>
    </r>
    <r>
      <rPr>
        <sz val="11"/>
        <rFont val="Aptos Narrow"/>
        <family val="2"/>
        <charset val="204"/>
      </rPr>
      <t>=</t>
    </r>
  </si>
  <si>
    <t>экспоненциальный</t>
  </si>
  <si>
    <t>Выручка от обслуживания заявок в течении времени Т:</t>
  </si>
  <si>
    <t>V = γ*C*T=V(A)+V(B1-B2)+V(C)=</t>
  </si>
  <si>
    <t>Затраты связанные собслуживанием заявок в канале в  в течение времени Т:</t>
  </si>
  <si>
    <t>Zобсл = γ* Cобсл* T=</t>
  </si>
  <si>
    <t>Затраты, связанные с эксплуатацией канала в течение времени T:</t>
  </si>
  <si>
    <t>Zэксп = ( S̅ * Cраб + (m - S̅  ) *Cпр )*T=</t>
  </si>
  <si>
    <t>B</t>
  </si>
  <si>
    <t>C</t>
  </si>
  <si>
    <t>γ</t>
  </si>
  <si>
    <t>Выручка</t>
  </si>
  <si>
    <t xml:space="preserve">Прочие </t>
  </si>
  <si>
    <t>Т, мин</t>
  </si>
  <si>
    <t xml:space="preserve">S̅ </t>
  </si>
  <si>
    <t>m</t>
  </si>
  <si>
    <t>Общая прибль:</t>
  </si>
  <si>
    <t>V - Zобсл - Zэксп =</t>
  </si>
  <si>
    <t>Найти прибыль от работы участка за 8 часов (8.6, 8.7, 8.9)</t>
  </si>
  <si>
    <t>A1</t>
  </si>
  <si>
    <t xml:space="preserve">𝜆 =  1/4 =  </t>
  </si>
  <si>
    <t>Заготовки поступают на обработку чаще (в среднем через каждые 4 минуты), а станок А заменен на новый (А1); время обработки одной детали на станке А1 – 3±1 минута.</t>
  </si>
  <si>
    <t>(2+4)/2=3</t>
  </si>
  <si>
    <t xml:space="preserve">𝜆 =  0,9*(1/4 )=  </t>
  </si>
  <si>
    <t xml:space="preserve">𝜆 =  0,9*(1/5 )=  </t>
  </si>
  <si>
    <t>&gt;1</t>
  </si>
  <si>
    <t>Прочие расходы, связанные с выпуском деталей типа 1 и 2, составляют 2 и 8 д.е. соответственно. Детали типа 1 продаются по цене 5 д.е., типа 2 - 22 д.е.</t>
  </si>
  <si>
    <t>Прочие расх.</t>
  </si>
  <si>
    <t>Характеристики</t>
  </si>
  <si>
    <t>А</t>
  </si>
  <si>
    <t>В1-В2</t>
  </si>
  <si>
    <t>С</t>
  </si>
  <si>
    <t>А1</t>
  </si>
  <si>
    <t>В1"-В2"</t>
  </si>
  <si>
    <t>С"</t>
  </si>
  <si>
    <t>P0</t>
  </si>
  <si>
    <t>Pотк</t>
  </si>
  <si>
    <t>Pобсл</t>
  </si>
  <si>
    <t>ρ</t>
  </si>
  <si>
    <t>U</t>
  </si>
  <si>
    <t>S̅ , деталей</t>
  </si>
  <si>
    <t>𝑞̅ , деталей</t>
  </si>
  <si>
    <t>k, деталей</t>
  </si>
  <si>
    <t>𝛾, дет/мин</t>
  </si>
  <si>
    <t>𝑤̅, мин</t>
  </si>
  <si>
    <t>𝑡̅, мин</t>
  </si>
  <si>
    <t>Вероятность отсутствия очереди B1-B2</t>
  </si>
  <si>
    <t>Прибыль</t>
  </si>
  <si>
    <t>Станки B1 и B2 загружены на 99 % своего времени, а в течение 1% своего времени простаивает из-за отсутствия заготовок. Такую закрузку нельзя считать нормальной, поэтому необходимо уменьшить нагрузку (оптимальный коэффициент загрузки = 0,75 - 0,85). В среднем в очереди находится 1,136 заготовки, а на станке - 3,8653 заготовки. Станок обрабатывает в среднем 0,099 заготовок/мин.</t>
  </si>
  <si>
    <t>Станок С загружен на 49 % своего времени, а в течение 51% своего времени простаивает из-за отсутствия заготовок. Такую закрузку нельзя считать нормальной, поэтому необходимо увеличить нагрузку (оптимальный коэффициент загрузки = 0,75 - 0,85)._x000B_В среднем в очереди находится 0,46 заготовки(q), а на станке - 0,4862  заготовки( S̅ ). Станок обрабатывает в среднем 0,081 заготовок/мин.</t>
  </si>
  <si>
    <t>Станки B1 и B2 загружены на 99 % своего времени, а в течение 1% своего времени простаивает из-за отсутствия заготовок. Такую закрузку нельзя считать нормальной, поэтому необходимо уменьшить нагрузку (оптимальный коэффициент загрузки = 0,75 - 0,85). В среднем в очереди находится 4,224 заготовки, а на станке - 1,994  заготовки. Станок обрабатывает в среднем 0,0997  заготовок/мин.</t>
  </si>
  <si>
    <t>Станок С загружен на 75 % своего времени, а в течение 25% своего времени простаивает из-за отсутствия заготовок. Такая загрузка находится в оптимальном диапазоне 0,75–0,85, значит, станок работает нормально. В среднем в очереди находится 2,28  заготовки, а на станке - 0,75   заготовки. Станок обрабатывает в среднем 0,1253 заготовок/мин.</t>
  </si>
  <si>
    <t>Прибыль увеличилась на 24%</t>
  </si>
  <si>
    <t>4- среднее значение, 2- среднее отклонение</t>
  </si>
  <si>
    <t>Станок А загружен на 80 % своего времени, а в течение 20% своего времени простаивает из-за отсутствия заготовок. Такая загрузка находится в оптимальном диапазоне 0,75–0,85, значит, станок работает нормально. В среднем в очереди находится 0,4 заготовки, а на станке — 0,8 заготовки.Станок обрабатывает в среднем 0,2 заготовки/мин.</t>
  </si>
  <si>
    <t>3 - среднее, 1 - среднее отклонение</t>
  </si>
  <si>
    <t>Станок А загружен на 75 % своего времени, а в течение 25% своего времени простаивает из-за отсутствия заготовок. Такая загрузка находится в оптимальном диапазоне 0,75–0,85, значит, станок работает нормально.В среднем в очереди находится 1,25  заготовки, а на станке - 0,75  заготовки. Станок обрабатывает в среднем 0,25 заготовок/мин.</t>
  </si>
  <si>
    <t>ст. гр. 320xxx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</si>
</sst>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Aptos Narrow"/>
      <family val="2"/>
    </font>
    <font>
      <sz val="12"/>
      <name val="Times New Roman"/>
      <family val="1"/>
      <charset val="204"/>
    </font>
    <font>
      <sz val="12"/>
      <name val="Aptos Narrow"/>
      <family val="2"/>
      <charset val="204"/>
    </font>
    <font>
      <sz val="11"/>
      <color rgb="FF000000"/>
      <name val="Calibri"/>
      <family val="2"/>
      <charset val="204"/>
    </font>
    <font>
      <sz val="11"/>
      <name val="Times New Roman"/>
      <family val="1"/>
      <charset val="204"/>
    </font>
    <font>
      <sz val="11"/>
      <name val="Aptos Narrow"/>
      <family val="2"/>
      <charset val="204"/>
    </font>
    <font>
      <b/>
      <sz val="1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8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</cellStyleXfs>
  <cellXfs count="1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9" fillId="5" borderId="1" xfId="2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 wrapText="1"/>
    </xf>
    <xf numFmtId="0" fontId="9" fillId="5" borderId="1" xfId="2" applyFont="1" applyFill="1" applyBorder="1" applyAlignment="1">
      <alignment vertical="center"/>
    </xf>
    <xf numFmtId="0" fontId="9" fillId="6" borderId="1" xfId="4" applyFont="1" applyFill="1" applyBorder="1" applyAlignment="1">
      <alignment horizontal="right" vertical="center"/>
    </xf>
    <xf numFmtId="0" fontId="9" fillId="6" borderId="1" xfId="4" applyFont="1" applyFill="1" applyBorder="1" applyAlignment="1">
      <alignment horizontal="left" vertical="center"/>
    </xf>
    <xf numFmtId="0" fontId="9" fillId="6" borderId="1" xfId="4" applyFont="1" applyFill="1" applyBorder="1" applyAlignment="1">
      <alignment horizontal="center" vertical="center"/>
    </xf>
    <xf numFmtId="0" fontId="10" fillId="6" borderId="1" xfId="4" applyFont="1" applyFill="1" applyBorder="1" applyAlignment="1">
      <alignment horizontal="right" vertical="center" wrapText="1"/>
    </xf>
    <xf numFmtId="0" fontId="10" fillId="6" borderId="1" xfId="4" applyFont="1" applyFill="1" applyBorder="1" applyAlignment="1">
      <alignment horizontal="right" vertical="center"/>
    </xf>
    <xf numFmtId="0" fontId="11" fillId="6" borderId="1" xfId="4" applyFont="1" applyFill="1" applyBorder="1" applyAlignment="1">
      <alignment horizontal="right" vertical="center" wrapText="1"/>
    </xf>
    <xf numFmtId="0" fontId="9" fillId="6" borderId="1" xfId="4" applyFont="1" applyFill="1" applyBorder="1" applyAlignment="1">
      <alignment vertical="center"/>
    </xf>
    <xf numFmtId="0" fontId="9" fillId="5" borderId="1" xfId="2" applyFont="1" applyFill="1" applyBorder="1" applyAlignment="1">
      <alignment horizontal="center"/>
    </xf>
    <xf numFmtId="0" fontId="9" fillId="6" borderId="1" xfId="3" applyFont="1" applyFill="1" applyBorder="1" applyAlignment="1">
      <alignment horizontal="left" vertical="center"/>
    </xf>
    <xf numFmtId="0" fontId="9" fillId="6" borderId="1" xfId="4" applyFont="1" applyFill="1" applyBorder="1" applyAlignment="1">
      <alignment horizontal="right" vertical="center" wrapText="1"/>
    </xf>
    <xf numFmtId="0" fontId="9" fillId="6" borderId="1" xfId="4" applyFont="1" applyFill="1" applyBorder="1" applyAlignment="1">
      <alignment horizontal="left"/>
    </xf>
    <xf numFmtId="0" fontId="9" fillId="5" borderId="1" xfId="2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9" fillId="6" borderId="4" xfId="4" applyFont="1" applyFill="1" applyBorder="1" applyAlignment="1"/>
    <xf numFmtId="0" fontId="9" fillId="6" borderId="5" xfId="4" applyFont="1" applyFill="1" applyBorder="1" applyAlignment="1"/>
    <xf numFmtId="0" fontId="9" fillId="6" borderId="6" xfId="4" applyFont="1" applyFill="1" applyBorder="1" applyAlignment="1"/>
    <xf numFmtId="0" fontId="9" fillId="6" borderId="1" xfId="4" applyFont="1" applyFill="1" applyBorder="1"/>
    <xf numFmtId="0" fontId="7" fillId="6" borderId="1" xfId="4" applyFill="1" applyBorder="1"/>
    <xf numFmtId="0" fontId="9" fillId="5" borderId="1" xfId="2" applyFont="1" applyFill="1" applyBorder="1"/>
    <xf numFmtId="0" fontId="0" fillId="0" borderId="8" xfId="0" applyBorder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1" xfId="0" applyBorder="1"/>
    <xf numFmtId="0" fontId="0" fillId="0" borderId="15" xfId="0" applyBorder="1"/>
    <xf numFmtId="0" fontId="9" fillId="5" borderId="3" xfId="2" applyFont="1" applyFill="1" applyBorder="1" applyAlignment="1">
      <alignment horizontal="center" vertical="center"/>
    </xf>
    <xf numFmtId="0" fontId="9" fillId="6" borderId="3" xfId="4" applyFont="1" applyFill="1" applyBorder="1" applyAlignment="1">
      <alignment horizontal="center" vertical="center"/>
    </xf>
    <xf numFmtId="2" fontId="9" fillId="6" borderId="1" xfId="4" applyNumberFormat="1" applyFont="1" applyFill="1" applyBorder="1" applyAlignment="1">
      <alignment horizontal="left" vertical="center"/>
    </xf>
    <xf numFmtId="0" fontId="10" fillId="0" borderId="0" xfId="0" applyFont="1"/>
    <xf numFmtId="0" fontId="10" fillId="8" borderId="1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0" fillId="8" borderId="1" xfId="0" applyFont="1" applyFill="1" applyBorder="1"/>
    <xf numFmtId="0" fontId="10" fillId="8" borderId="18" xfId="0" applyFont="1" applyFill="1" applyBorder="1"/>
    <xf numFmtId="0" fontId="10" fillId="9" borderId="6" xfId="0" applyFont="1" applyFill="1" applyBorder="1"/>
    <xf numFmtId="0" fontId="10" fillId="9" borderId="19" xfId="0" applyFont="1" applyFill="1" applyBorder="1"/>
    <xf numFmtId="0" fontId="10" fillId="9" borderId="19" xfId="0" applyFont="1" applyFill="1" applyBorder="1" applyAlignment="1">
      <alignment horizontal="center" vertical="center"/>
    </xf>
    <xf numFmtId="0" fontId="10" fillId="7" borderId="4" xfId="4" applyFont="1" applyFill="1" applyBorder="1" applyAlignment="1"/>
    <xf numFmtId="0" fontId="10" fillId="9" borderId="5" xfId="0" applyFont="1" applyFill="1" applyBorder="1"/>
    <xf numFmtId="0" fontId="10" fillId="7" borderId="1" xfId="4" applyFont="1" applyFill="1" applyBorder="1"/>
    <xf numFmtId="2" fontId="10" fillId="9" borderId="6" xfId="0" applyNumberFormat="1" applyFont="1" applyFill="1" applyBorder="1"/>
    <xf numFmtId="0" fontId="17" fillId="5" borderId="20" xfId="2" applyFont="1" applyFill="1" applyBorder="1" applyAlignment="1">
      <alignment horizontal="right"/>
    </xf>
    <xf numFmtId="0" fontId="17" fillId="5" borderId="22" xfId="2" applyFont="1" applyFill="1" applyBorder="1" applyAlignment="1">
      <alignment horizontal="right"/>
    </xf>
    <xf numFmtId="0" fontId="17" fillId="5" borderId="23" xfId="2" applyFont="1" applyFill="1" applyBorder="1" applyAlignment="1">
      <alignment horizontal="right"/>
    </xf>
    <xf numFmtId="164" fontId="18" fillId="10" borderId="6" xfId="0" applyNumberFormat="1" applyFont="1" applyFill="1" applyBorder="1"/>
    <xf numFmtId="164" fontId="18" fillId="6" borderId="26" xfId="0" applyNumberFormat="1" applyFont="1" applyFill="1" applyBorder="1"/>
    <xf numFmtId="164" fontId="18" fillId="6" borderId="6" xfId="0" applyNumberFormat="1" applyFont="1" applyFill="1" applyBorder="1"/>
    <xf numFmtId="164" fontId="18" fillId="6" borderId="27" xfId="0" applyNumberFormat="1" applyFont="1" applyFill="1" applyBorder="1"/>
    <xf numFmtId="0" fontId="18" fillId="10" borderId="6" xfId="0" applyFont="1" applyFill="1" applyBorder="1"/>
    <xf numFmtId="0" fontId="18" fillId="11" borderId="6" xfId="0" applyFont="1" applyFill="1" applyBorder="1"/>
    <xf numFmtId="164" fontId="18" fillId="12" borderId="6" xfId="0" applyNumberFormat="1" applyFont="1" applyFill="1" applyBorder="1"/>
    <xf numFmtId="164" fontId="18" fillId="11" borderId="6" xfId="0" applyNumberFormat="1" applyFont="1" applyFill="1" applyBorder="1"/>
    <xf numFmtId="0" fontId="18" fillId="12" borderId="6" xfId="0" applyFont="1" applyFill="1" applyBorder="1"/>
    <xf numFmtId="164" fontId="18" fillId="11" borderId="19" xfId="0" applyNumberFormat="1" applyFont="1" applyFill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9" fillId="5" borderId="1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9" fillId="5" borderId="1" xfId="2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7" fillId="6" borderId="1" xfId="4" applyFill="1" applyBorder="1" applyAlignment="1">
      <alignment horizontal="center"/>
    </xf>
    <xf numFmtId="0" fontId="9" fillId="5" borderId="1" xfId="2" applyFont="1" applyFill="1" applyBorder="1" applyAlignment="1">
      <alignment horizontal="left"/>
    </xf>
    <xf numFmtId="0" fontId="9" fillId="5" borderId="3" xfId="2" applyFont="1" applyFill="1" applyBorder="1" applyAlignment="1">
      <alignment horizontal="left"/>
    </xf>
    <xf numFmtId="0" fontId="9" fillId="6" borderId="4" xfId="4" applyFont="1" applyFill="1" applyBorder="1" applyAlignment="1">
      <alignment horizontal="center"/>
    </xf>
    <xf numFmtId="0" fontId="9" fillId="6" borderId="5" xfId="4" applyFont="1" applyFill="1" applyBorder="1" applyAlignment="1">
      <alignment horizontal="center"/>
    </xf>
    <xf numFmtId="0" fontId="9" fillId="5" borderId="7" xfId="2" applyFont="1" applyFill="1" applyBorder="1" applyAlignment="1">
      <alignment horizontal="left"/>
    </xf>
    <xf numFmtId="0" fontId="9" fillId="5" borderId="16" xfId="2" applyFont="1" applyFill="1" applyBorder="1" applyAlignment="1">
      <alignment horizontal="center" vertical="center"/>
    </xf>
    <xf numFmtId="0" fontId="9" fillId="5" borderId="17" xfId="2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8" borderId="4" xfId="0" applyFon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10" fillId="9" borderId="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left"/>
    </xf>
    <xf numFmtId="0" fontId="10" fillId="8" borderId="5" xfId="0" applyFont="1" applyFill="1" applyBorder="1" applyAlignment="1">
      <alignment horizontal="left"/>
    </xf>
    <xf numFmtId="0" fontId="10" fillId="8" borderId="6" xfId="0" applyFont="1" applyFill="1" applyBorder="1" applyAlignment="1">
      <alignment horizontal="left"/>
    </xf>
    <xf numFmtId="0" fontId="10" fillId="9" borderId="5" xfId="0" applyFont="1" applyFill="1" applyBorder="1" applyAlignment="1">
      <alignment horizontal="center"/>
    </xf>
    <xf numFmtId="0" fontId="17" fillId="5" borderId="28" xfId="2" applyFont="1" applyFill="1" applyBorder="1"/>
    <xf numFmtId="0" fontId="17" fillId="5" borderId="27" xfId="2" applyFont="1" applyFill="1" applyBorder="1"/>
    <xf numFmtId="0" fontId="17" fillId="5" borderId="29" xfId="2" applyFont="1" applyFill="1" applyBorder="1" applyAlignment="1">
      <alignment horizontal="left" wrapText="1"/>
    </xf>
    <xf numFmtId="0" fontId="17" fillId="5" borderId="30" xfId="2" applyFont="1" applyFill="1" applyBorder="1" applyAlignment="1">
      <alignment horizontal="left" wrapText="1"/>
    </xf>
    <xf numFmtId="0" fontId="17" fillId="5" borderId="24" xfId="2" applyFont="1" applyFill="1" applyBorder="1"/>
    <xf numFmtId="0" fontId="17" fillId="5" borderId="25" xfId="2" applyFont="1" applyFill="1" applyBorder="1"/>
    <xf numFmtId="0" fontId="17" fillId="5" borderId="33" xfId="2" applyFont="1" applyFill="1" applyBorder="1" applyAlignment="1">
      <alignment horizontal="center"/>
    </xf>
    <xf numFmtId="0" fontId="17" fillId="5" borderId="23" xfId="2" applyFont="1" applyFill="1" applyBorder="1" applyAlignment="1">
      <alignment horizontal="center"/>
    </xf>
    <xf numFmtId="10" fontId="18" fillId="6" borderId="31" xfId="0" applyNumberFormat="1" applyFont="1" applyFill="1" applyBorder="1" applyAlignment="1">
      <alignment horizontal="center"/>
    </xf>
    <xf numFmtId="10" fontId="18" fillId="6" borderId="32" xfId="0" applyNumberFormat="1" applyFont="1" applyFill="1" applyBorder="1" applyAlignment="1">
      <alignment horizontal="center"/>
    </xf>
    <xf numFmtId="10" fontId="18" fillId="6" borderId="30" xfId="0" applyNumberFormat="1" applyFont="1" applyFill="1" applyBorder="1" applyAlignment="1">
      <alignment horizontal="center"/>
    </xf>
    <xf numFmtId="10" fontId="18" fillId="10" borderId="31" xfId="0" applyNumberFormat="1" applyFont="1" applyFill="1" applyBorder="1" applyAlignment="1">
      <alignment horizontal="center"/>
    </xf>
    <xf numFmtId="10" fontId="18" fillId="10" borderId="32" xfId="0" applyNumberFormat="1" applyFont="1" applyFill="1" applyBorder="1" applyAlignment="1">
      <alignment horizontal="center"/>
    </xf>
    <xf numFmtId="10" fontId="18" fillId="10" borderId="30" xfId="0" applyNumberFormat="1" applyFont="1" applyFill="1" applyBorder="1" applyAlignment="1">
      <alignment horizontal="center"/>
    </xf>
    <xf numFmtId="0" fontId="17" fillId="5" borderId="33" xfId="2" applyFont="1" applyFill="1" applyBorder="1" applyAlignment="1">
      <alignment horizontal="left"/>
    </xf>
    <xf numFmtId="0" fontId="17" fillId="5" borderId="34" xfId="2" applyFont="1" applyFill="1" applyBorder="1" applyAlignment="1">
      <alignment horizontal="left"/>
    </xf>
    <xf numFmtId="164" fontId="18" fillId="6" borderId="35" xfId="0" applyNumberFormat="1" applyFont="1" applyFill="1" applyBorder="1" applyAlignment="1">
      <alignment horizontal="center"/>
    </xf>
    <xf numFmtId="164" fontId="18" fillId="6" borderId="21" xfId="0" applyNumberFormat="1" applyFont="1" applyFill="1" applyBorder="1" applyAlignment="1">
      <alignment horizontal="center"/>
    </xf>
    <xf numFmtId="164" fontId="18" fillId="6" borderId="34" xfId="0" applyNumberFormat="1" applyFont="1" applyFill="1" applyBorder="1" applyAlignment="1">
      <alignment horizontal="center"/>
    </xf>
    <xf numFmtId="164" fontId="18" fillId="10" borderId="35" xfId="0" applyNumberFormat="1" applyFont="1" applyFill="1" applyBorder="1" applyAlignment="1">
      <alignment horizontal="center"/>
    </xf>
    <xf numFmtId="164" fontId="18" fillId="10" borderId="21" xfId="0" applyNumberFormat="1" applyFont="1" applyFill="1" applyBorder="1" applyAlignment="1">
      <alignment horizontal="center"/>
    </xf>
    <xf numFmtId="164" fontId="18" fillId="10" borderId="34" xfId="0" applyNumberFormat="1" applyFont="1" applyFill="1" applyBorder="1" applyAlignment="1">
      <alignment horizontal="center"/>
    </xf>
  </cellXfs>
  <cellStyles count="5">
    <cellStyle name="20% — акцент2" xfId="3" builtinId="34"/>
    <cellStyle name="20% — акцент6" xfId="4" builtinId="50"/>
    <cellStyle name="Обычный" xfId="0" builtinId="0"/>
    <cellStyle name="Обычный 2" xfId="1" xr:uid="{A530B55A-0AE0-40CC-911B-C6516CE7BEE9}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1125941</xdr:colOff>
      <xdr:row>34</xdr:row>
      <xdr:rowOff>22746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A91FB24-0B8F-F210-815C-6433962D7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20269" cy="62097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437510</xdr:colOff>
      <xdr:row>2</xdr:row>
      <xdr:rowOff>121921</xdr:rowOff>
    </xdr:from>
    <xdr:to>
      <xdr:col>16</xdr:col>
      <xdr:colOff>213359</xdr:colOff>
      <xdr:row>19</xdr:row>
      <xdr:rowOff>38101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713794B-A458-C8AB-B61C-527374126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8810" y="487681"/>
          <a:ext cx="6481449" cy="3025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26397</xdr:colOff>
      <xdr:row>15</xdr:row>
      <xdr:rowOff>23991</xdr:rowOff>
    </xdr:from>
    <xdr:ext cx="2397708" cy="6567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0691955-C821-4769-B237-0B0B72F13424}"/>
                </a:ext>
              </a:extLst>
            </xdr:cNvPr>
            <xdr:cNvSpPr txBox="1"/>
          </xdr:nvSpPr>
          <xdr:spPr>
            <a:xfrm>
              <a:off x="2388597" y="2767191"/>
              <a:ext cx="2397708" cy="656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limLoc m:val="undOvr"/>
                                <m:grow m:val="on"/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=0</m:t>
                                </m:r>
                              </m:sub>
                              <m:sup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p>
                              <m:e>
                                <m:f>
                                  <m:fPr>
                                    <m:ctrlPr>
                                      <a:rPr lang="ru-RU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ru-RU" sz="11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d>
                                          <m:dPr>
                                            <m:ctrlPr>
                                              <a:rPr lang="ru-RU" sz="1100" i="1">
                                                <a:solidFill>
                                                  <a:srgbClr val="836967"/>
                                                </a:solidFill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ru-RU" sz="1100" i="1">
                                                <a:latin typeface="Cambria Math" panose="02040503050406030204" pitchFamily="18" charset="0"/>
                                              </a:rPr>
                                              <m:t>𝑚</m:t>
                                            </m:r>
                                            <m:r>
                                              <a:rPr lang="ru-RU" sz="1100" i="1">
                                                <a:latin typeface="Cambria Math" panose="02040503050406030204" pitchFamily="18" charset="0"/>
                                              </a:rPr>
                                              <m:t>𝜌</m:t>
                                            </m:r>
                                          </m:e>
                                        </m:d>
                                      </m:e>
                                      <m:sup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  <m:r>
                                      <a:rPr lang="ru-RU" sz="1100" i="0">
                                        <a:latin typeface="Cambria Math" panose="02040503050406030204" pitchFamily="18" charset="0"/>
                                      </a:rPr>
                                      <m:t>!</m:t>
                                    </m:r>
                                  </m:den>
                                </m:f>
                              </m:e>
                            </m:nary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ru-RU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ru-RU" sz="11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𝑚</m:t>
                                        </m:r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𝜌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𝑚</m:t>
                                    </m:r>
                                    <m:r>
                                      <a:rPr lang="ru-RU" sz="1100" i="0">
                                        <a:latin typeface="Cambria Math" panose="02040503050406030204" pitchFamily="18" charset="0"/>
                                      </a:rPr>
                                      <m:t>+1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⋅</m:t>
                                </m:r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!</m:t>
                                </m:r>
                              </m:den>
                            </m:f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sSup>
                                  <m:sSupPr>
                                    <m:ctrlPr>
                                      <a:rPr lang="ru-RU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𝜌</m:t>
                                    </m:r>
                                  </m:e>
                                  <m:sup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𝜌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0691955-C821-4769-B237-0B0B72F13424}"/>
                </a:ext>
              </a:extLst>
            </xdr:cNvPr>
            <xdr:cNvSpPr txBox="1"/>
          </xdr:nvSpPr>
          <xdr:spPr>
            <a:xfrm>
              <a:off x="2388597" y="2767191"/>
              <a:ext cx="2397708" cy="656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ctr"/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[∑129_(</a:t>
              </a:r>
              <a:r>
                <a:rPr lang="ru-RU" sz="1100" i="0">
                  <a:latin typeface="Cambria Math" panose="02040503050406030204" pitchFamily="18" charset="0"/>
                </a:rPr>
                <a:t>𝑖=0)^𝑚▒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ru-RU" sz="1100" i="0">
                  <a:latin typeface="Cambria Math" panose="02040503050406030204" pitchFamily="18" charset="0"/>
                </a:rPr>
                <a:t>𝑚𝜌)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ru-RU" sz="1100" i="0">
                  <a:latin typeface="Cambria Math" panose="02040503050406030204" pitchFamily="18" charset="0"/>
                </a:rPr>
                <a:t>𝑖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ru-RU" sz="1100" i="0">
                  <a:latin typeface="Cambria Math" panose="02040503050406030204" pitchFamily="18" charset="0"/>
                </a:rPr>
                <a:t>𝑖!+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ru-RU" sz="1100" i="0">
                  <a:latin typeface="Cambria Math" panose="02040503050406030204" pitchFamily="18" charset="0"/>
                </a:rPr>
                <a:t>𝑚𝜌)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^(</a:t>
              </a:r>
              <a:r>
                <a:rPr lang="ru-RU" sz="1100" i="0">
                  <a:latin typeface="Cambria Math" panose="02040503050406030204" pitchFamily="18" charset="0"/>
                </a:rPr>
                <a:t>𝑚+1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</a:t>
              </a:r>
              <a:r>
                <a:rPr lang="ru-RU" sz="1100" i="0">
                  <a:latin typeface="Cambria Math" panose="02040503050406030204" pitchFamily="18" charset="0"/>
                </a:rPr>
                <a:t>𝑚⋅𝑚!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r>
                <a:rPr lang="ru-RU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ru-RU" sz="1100" i="0">
                  <a:latin typeface="Cambria Math" panose="02040503050406030204" pitchFamily="18" charset="0"/>
                </a:rPr>
                <a:t>1−𝜌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ru-RU" sz="1100" i="0">
                  <a:latin typeface="Cambria Math" panose="02040503050406030204" pitchFamily="18" charset="0"/>
                </a:rPr>
                <a:t>𝑛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</a:t>
              </a:r>
              <a:r>
                <a:rPr lang="ru-RU" sz="1100" i="0">
                  <a:latin typeface="Cambria Math" panose="02040503050406030204" pitchFamily="18" charset="0"/>
                </a:rPr>
                <a:t>1−𝜌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)]^(</a:t>
              </a:r>
              <a:r>
                <a:rPr lang="ru-RU" sz="1100" i="0">
                  <a:latin typeface="Cambria Math" panose="02040503050406030204" pitchFamily="18" charset="0"/>
                </a:rPr>
                <a:t>−1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4</xdr:col>
      <xdr:colOff>358140</xdr:colOff>
      <xdr:row>5</xdr:row>
      <xdr:rowOff>160020</xdr:rowOff>
    </xdr:from>
    <xdr:to>
      <xdr:col>15</xdr:col>
      <xdr:colOff>133989</xdr:colOff>
      <xdr:row>18</xdr:row>
      <xdr:rowOff>135255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CBACD9C-ABA6-4877-99CC-145C122CA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0" y="1074420"/>
          <a:ext cx="6481449" cy="29927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1225215</xdr:colOff>
      <xdr:row>13</xdr:row>
      <xdr:rowOff>83354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C02B80-D5FE-4994-B55B-BC9D52079D24}"/>
            </a:ext>
          </a:extLst>
        </xdr:cNvPr>
        <xdr:cNvSpPr txBox="1"/>
      </xdr:nvSpPr>
      <xdr:spPr>
        <a:xfrm>
          <a:off x="3556935" y="246079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ctr"/>
          <a:endParaRPr lang="ru-RU" sz="1100"/>
        </a:p>
      </xdr:txBody>
    </xdr:sp>
    <xdr:clientData/>
  </xdr:oneCellAnchor>
  <xdr:twoCellAnchor editAs="oneCell">
    <xdr:from>
      <xdr:col>4</xdr:col>
      <xdr:colOff>358140</xdr:colOff>
      <xdr:row>2</xdr:row>
      <xdr:rowOff>83820</xdr:rowOff>
    </xdr:from>
    <xdr:to>
      <xdr:col>15</xdr:col>
      <xdr:colOff>133989</xdr:colOff>
      <xdr:row>17</xdr:row>
      <xdr:rowOff>135255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C4DC081-57A9-4165-8167-09137BE61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6140" y="449580"/>
          <a:ext cx="6481449" cy="29927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2</xdr:row>
      <xdr:rowOff>25401</xdr:rowOff>
    </xdr:from>
    <xdr:to>
      <xdr:col>14</xdr:col>
      <xdr:colOff>274320</xdr:colOff>
      <xdr:row>16</xdr:row>
      <xdr:rowOff>113703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2D1B252-7A95-4B5D-A154-1EEE48BBC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5800" y="397934"/>
          <a:ext cx="5836920" cy="26960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26397</xdr:colOff>
      <xdr:row>15</xdr:row>
      <xdr:rowOff>23991</xdr:rowOff>
    </xdr:from>
    <xdr:ext cx="2397708" cy="6567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01DD7D9-0486-4EDB-B814-BC81EC3A42CE}"/>
                </a:ext>
              </a:extLst>
            </xdr:cNvPr>
            <xdr:cNvSpPr txBox="1"/>
          </xdr:nvSpPr>
          <xdr:spPr>
            <a:xfrm>
              <a:off x="2518137" y="2767191"/>
              <a:ext cx="2397708" cy="656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limLoc m:val="undOvr"/>
                                <m:grow m:val="on"/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=0</m:t>
                                </m:r>
                              </m:sub>
                              <m:sup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p>
                              <m:e>
                                <m:f>
                                  <m:fPr>
                                    <m:ctrlPr>
                                      <a:rPr lang="ru-RU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ru-RU" sz="11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d>
                                          <m:dPr>
                                            <m:ctrlPr>
                                              <a:rPr lang="ru-RU" sz="1100" i="1">
                                                <a:solidFill>
                                                  <a:srgbClr val="836967"/>
                                                </a:solidFill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ru-RU" sz="1100" i="1">
                                                <a:latin typeface="Cambria Math" panose="02040503050406030204" pitchFamily="18" charset="0"/>
                                              </a:rPr>
                                              <m:t>𝑚</m:t>
                                            </m:r>
                                            <m:r>
                                              <a:rPr lang="ru-RU" sz="1100" i="1">
                                                <a:latin typeface="Cambria Math" panose="02040503050406030204" pitchFamily="18" charset="0"/>
                                              </a:rPr>
                                              <m:t>𝜌</m:t>
                                            </m:r>
                                          </m:e>
                                        </m:d>
                                      </m:e>
                                      <m:sup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  <m:r>
                                      <a:rPr lang="ru-RU" sz="1100" i="0">
                                        <a:latin typeface="Cambria Math" panose="02040503050406030204" pitchFamily="18" charset="0"/>
                                      </a:rPr>
                                      <m:t>!</m:t>
                                    </m:r>
                                  </m:den>
                                </m:f>
                              </m:e>
                            </m:nary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ru-RU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ru-RU" sz="11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𝑚</m:t>
                                        </m:r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𝜌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𝑚</m:t>
                                    </m:r>
                                    <m:r>
                                      <a:rPr lang="ru-RU" sz="1100" i="0">
                                        <a:latin typeface="Cambria Math" panose="02040503050406030204" pitchFamily="18" charset="0"/>
                                      </a:rPr>
                                      <m:t>+1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⋅</m:t>
                                </m:r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!</m:t>
                                </m:r>
                              </m:den>
                            </m:f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sSup>
                                  <m:sSupPr>
                                    <m:ctrlPr>
                                      <a:rPr lang="ru-RU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𝜌</m:t>
                                    </m:r>
                                  </m:e>
                                  <m:sup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𝜌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01DD7D9-0486-4EDB-B814-BC81EC3A42CE}"/>
                </a:ext>
              </a:extLst>
            </xdr:cNvPr>
            <xdr:cNvSpPr txBox="1"/>
          </xdr:nvSpPr>
          <xdr:spPr>
            <a:xfrm>
              <a:off x="2518137" y="2767191"/>
              <a:ext cx="2397708" cy="656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ctr"/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[∑129_(</a:t>
              </a:r>
              <a:r>
                <a:rPr lang="ru-RU" sz="1100" i="0">
                  <a:latin typeface="Cambria Math" panose="02040503050406030204" pitchFamily="18" charset="0"/>
                </a:rPr>
                <a:t>𝑖=0)^𝑚▒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ru-RU" sz="1100" i="0">
                  <a:latin typeface="Cambria Math" panose="02040503050406030204" pitchFamily="18" charset="0"/>
                </a:rPr>
                <a:t>𝑚𝜌)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ru-RU" sz="1100" i="0">
                  <a:latin typeface="Cambria Math" panose="02040503050406030204" pitchFamily="18" charset="0"/>
                </a:rPr>
                <a:t>𝑖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ru-RU" sz="1100" i="0">
                  <a:latin typeface="Cambria Math" panose="02040503050406030204" pitchFamily="18" charset="0"/>
                </a:rPr>
                <a:t>𝑖!+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ru-RU" sz="1100" i="0">
                  <a:latin typeface="Cambria Math" panose="02040503050406030204" pitchFamily="18" charset="0"/>
                </a:rPr>
                <a:t>𝑚𝜌)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^(</a:t>
              </a:r>
              <a:r>
                <a:rPr lang="ru-RU" sz="1100" i="0">
                  <a:latin typeface="Cambria Math" panose="02040503050406030204" pitchFamily="18" charset="0"/>
                </a:rPr>
                <a:t>𝑚+1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</a:t>
              </a:r>
              <a:r>
                <a:rPr lang="ru-RU" sz="1100" i="0">
                  <a:latin typeface="Cambria Math" panose="02040503050406030204" pitchFamily="18" charset="0"/>
                </a:rPr>
                <a:t>𝑚⋅𝑚!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r>
                <a:rPr lang="ru-RU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ru-RU" sz="1100" i="0">
                  <a:latin typeface="Cambria Math" panose="02040503050406030204" pitchFamily="18" charset="0"/>
                </a:rPr>
                <a:t>1−𝜌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ru-RU" sz="1100" i="0">
                  <a:latin typeface="Cambria Math" panose="02040503050406030204" pitchFamily="18" charset="0"/>
                </a:rPr>
                <a:t>𝑛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</a:t>
              </a:r>
              <a:r>
                <a:rPr lang="ru-RU" sz="1100" i="0">
                  <a:latin typeface="Cambria Math" panose="02040503050406030204" pitchFamily="18" charset="0"/>
                </a:rPr>
                <a:t>1−𝜌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)]^(</a:t>
              </a:r>
              <a:r>
                <a:rPr lang="ru-RU" sz="1100" i="0">
                  <a:latin typeface="Cambria Math" panose="02040503050406030204" pitchFamily="18" charset="0"/>
                </a:rPr>
                <a:t>−1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5</xdr:col>
      <xdr:colOff>1</xdr:colOff>
      <xdr:row>3</xdr:row>
      <xdr:rowOff>0</xdr:rowOff>
    </xdr:from>
    <xdr:to>
      <xdr:col>14</xdr:col>
      <xdr:colOff>350521</xdr:colOff>
      <xdr:row>15</xdr:row>
      <xdr:rowOff>460836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99CDAC0-D372-413D-9E38-9765E85CC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901" y="548640"/>
          <a:ext cx="5836920" cy="26553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1225215</xdr:colOff>
      <xdr:row>13</xdr:row>
      <xdr:rowOff>83354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2CB5D3-4EB2-44BC-9325-C3277027D6FE}"/>
            </a:ext>
          </a:extLst>
        </xdr:cNvPr>
        <xdr:cNvSpPr txBox="1"/>
      </xdr:nvSpPr>
      <xdr:spPr>
        <a:xfrm>
          <a:off x="3694095" y="246079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ctr"/>
          <a:endParaRPr lang="ru-RU" sz="1100"/>
        </a:p>
      </xdr:txBody>
    </xdr:sp>
    <xdr:clientData/>
  </xdr:oneCellAnchor>
  <xdr:twoCellAnchor editAs="oneCell">
    <xdr:from>
      <xdr:col>4</xdr:col>
      <xdr:colOff>449580</xdr:colOff>
      <xdr:row>4</xdr:row>
      <xdr:rowOff>106680</xdr:rowOff>
    </xdr:from>
    <xdr:to>
      <xdr:col>14</xdr:col>
      <xdr:colOff>190500</xdr:colOff>
      <xdr:row>17</xdr:row>
      <xdr:rowOff>18876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0A26654-B99F-4DCA-A3C7-BA1C64D63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5660" y="838200"/>
          <a:ext cx="5836920" cy="2655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B0D2-70DF-45A7-BF5A-3BC574E3FD1B}">
  <dimension ref="A1:K36"/>
  <sheetViews>
    <sheetView topLeftCell="A10" workbookViewId="0">
      <selection activeCell="I27" sqref="I27"/>
    </sheetView>
  </sheetViews>
  <sheetFormatPr baseColWidth="10" defaultColWidth="8.83203125" defaultRowHeight="15" x14ac:dyDescent="0.2"/>
  <sheetData>
    <row r="1" spans="1:11" ht="18" x14ac:dyDescent="0.2">
      <c r="F1" s="1" t="s">
        <v>0</v>
      </c>
      <c r="G1" s="1"/>
    </row>
    <row r="2" spans="1:11" ht="18" x14ac:dyDescent="0.2">
      <c r="F2" s="1" t="s">
        <v>1</v>
      </c>
      <c r="G2" s="1"/>
    </row>
    <row r="3" spans="1:11" ht="18" x14ac:dyDescent="0.2">
      <c r="F3" s="1" t="s">
        <v>2</v>
      </c>
      <c r="G3" s="1"/>
    </row>
    <row r="4" spans="1:11" ht="18" x14ac:dyDescent="0.2">
      <c r="G4" s="1"/>
    </row>
    <row r="5" spans="1:11" ht="18" x14ac:dyDescent="0.2">
      <c r="F5" s="1" t="s">
        <v>3</v>
      </c>
      <c r="G5" s="1"/>
    </row>
    <row r="6" spans="1:11" ht="18" x14ac:dyDescent="0.2">
      <c r="C6" s="2" t="s">
        <v>4</v>
      </c>
      <c r="G6" s="1"/>
    </row>
    <row r="7" spans="1:11" ht="18" x14ac:dyDescent="0.2">
      <c r="A7" s="1"/>
      <c r="C7" s="1"/>
    </row>
    <row r="8" spans="1:11" ht="18" x14ac:dyDescent="0.2">
      <c r="A8" s="1"/>
    </row>
    <row r="9" spans="1:11" ht="18" x14ac:dyDescent="0.2">
      <c r="A9" s="1"/>
      <c r="C9" s="3"/>
    </row>
    <row r="10" spans="1:11" ht="18" x14ac:dyDescent="0.2">
      <c r="A10" s="1"/>
      <c r="C10" s="3"/>
    </row>
    <row r="11" spans="1:11" ht="18" x14ac:dyDescent="0.2">
      <c r="A11" s="1"/>
      <c r="C11" s="3"/>
    </row>
    <row r="12" spans="1:11" ht="18" x14ac:dyDescent="0.2">
      <c r="A12" s="1"/>
      <c r="C12" s="3"/>
    </row>
    <row r="13" spans="1:11" ht="18" x14ac:dyDescent="0.2">
      <c r="C13" s="4"/>
      <c r="D13" s="1"/>
    </row>
    <row r="14" spans="1:11" ht="18" x14ac:dyDescent="0.2">
      <c r="D14" s="1"/>
      <c r="F14" s="3" t="s">
        <v>10</v>
      </c>
    </row>
    <row r="15" spans="1:11" ht="18" x14ac:dyDescent="0.2">
      <c r="C15" s="3"/>
      <c r="D15" s="1"/>
    </row>
    <row r="16" spans="1:11" ht="17.5" customHeight="1" x14ac:dyDescent="0.2">
      <c r="A16" s="5"/>
      <c r="B16" s="5"/>
      <c r="C16" s="78" t="s">
        <v>9</v>
      </c>
      <c r="D16" s="78"/>
      <c r="E16" s="78"/>
      <c r="F16" s="78"/>
      <c r="G16" s="78"/>
      <c r="H16" s="78"/>
      <c r="I16" s="78"/>
      <c r="J16" s="5"/>
      <c r="K16" s="5"/>
    </row>
    <row r="17" spans="1:11" ht="18" x14ac:dyDescent="0.2">
      <c r="A17" s="1"/>
      <c r="C17" s="10" t="s">
        <v>11</v>
      </c>
      <c r="D17" s="6"/>
      <c r="E17" s="6"/>
      <c r="F17" s="6"/>
      <c r="G17" s="6"/>
      <c r="H17" s="6"/>
      <c r="I17" s="6"/>
      <c r="J17" s="6"/>
    </row>
    <row r="18" spans="1:11" ht="18" x14ac:dyDescent="0.2">
      <c r="A18" s="7"/>
      <c r="C18" s="4"/>
      <c r="E18" s="6"/>
    </row>
    <row r="19" spans="1:11" ht="18" x14ac:dyDescent="0.2">
      <c r="A19" s="7"/>
      <c r="C19" s="4"/>
    </row>
    <row r="20" spans="1:11" ht="18" x14ac:dyDescent="0.2">
      <c r="A20" s="7"/>
      <c r="C20" s="4"/>
    </row>
    <row r="21" spans="1:11" ht="18" x14ac:dyDescent="0.2">
      <c r="A21" s="7"/>
      <c r="C21" s="4"/>
    </row>
    <row r="22" spans="1:11" ht="18" x14ac:dyDescent="0.2">
      <c r="A22" s="8"/>
      <c r="C22" s="4"/>
    </row>
    <row r="23" spans="1:11" ht="18" x14ac:dyDescent="0.2">
      <c r="A23" s="8"/>
      <c r="C23" s="4"/>
    </row>
    <row r="24" spans="1:11" ht="18" x14ac:dyDescent="0.2">
      <c r="C24" s="4"/>
      <c r="K24" s="8"/>
    </row>
    <row r="25" spans="1:11" ht="18" x14ac:dyDescent="0.2">
      <c r="A25" s="7"/>
      <c r="C25" s="4"/>
    </row>
    <row r="26" spans="1:11" ht="18" x14ac:dyDescent="0.2">
      <c r="A26" s="7"/>
      <c r="B26" s="4" t="s">
        <v>5</v>
      </c>
      <c r="I26" s="4" t="s">
        <v>6</v>
      </c>
    </row>
    <row r="27" spans="1:11" ht="18" x14ac:dyDescent="0.2">
      <c r="A27" s="7"/>
      <c r="B27" s="4" t="s">
        <v>7</v>
      </c>
      <c r="I27" s="4" t="s">
        <v>132</v>
      </c>
    </row>
    <row r="28" spans="1:11" ht="18" x14ac:dyDescent="0.2">
      <c r="A28" s="7"/>
      <c r="C28" s="4"/>
      <c r="I28" s="4"/>
    </row>
    <row r="29" spans="1:11" ht="18" x14ac:dyDescent="0.2">
      <c r="A29" s="7"/>
    </row>
    <row r="30" spans="1:11" ht="18" x14ac:dyDescent="0.2">
      <c r="A30" s="9"/>
    </row>
    <row r="31" spans="1:11" ht="18" x14ac:dyDescent="0.2">
      <c r="A31" s="9"/>
    </row>
    <row r="32" spans="1:11" ht="18" x14ac:dyDescent="0.2">
      <c r="A32" s="1"/>
      <c r="C32" s="4"/>
    </row>
    <row r="33" spans="3:6" ht="18" x14ac:dyDescent="0.2">
      <c r="C33" s="4"/>
    </row>
    <row r="34" spans="3:6" ht="18" x14ac:dyDescent="0.2">
      <c r="C34" s="4"/>
    </row>
    <row r="35" spans="3:6" ht="18" x14ac:dyDescent="0.2">
      <c r="C35" s="4"/>
    </row>
    <row r="36" spans="3:6" ht="18" x14ac:dyDescent="0.2">
      <c r="F36" s="3" t="s">
        <v>8</v>
      </c>
    </row>
  </sheetData>
  <mergeCells count="1">
    <mergeCell ref="C16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91EE-E7F7-432A-9063-7C8A80A30CC6}">
  <dimension ref="A30"/>
  <sheetViews>
    <sheetView zoomScale="67" workbookViewId="0">
      <selection activeCell="C37" sqref="C37"/>
    </sheetView>
  </sheetViews>
  <sheetFormatPr baseColWidth="10" defaultColWidth="8.83203125" defaultRowHeight="15" x14ac:dyDescent="0.2"/>
  <cols>
    <col min="1" max="1" width="12.6640625" customWidth="1"/>
    <col min="2" max="2" width="21.5" customWidth="1"/>
    <col min="3" max="3" width="25.6640625" customWidth="1"/>
    <col min="4" max="4" width="20.1640625" customWidth="1"/>
    <col min="5" max="5" width="20.33203125" customWidth="1"/>
    <col min="6" max="6" width="18.83203125" customWidth="1"/>
    <col min="7" max="7" width="14.83203125" customWidth="1"/>
    <col min="13" max="13" width="10.83203125" customWidth="1"/>
    <col min="14" max="14" width="10.5" customWidth="1"/>
    <col min="15" max="15" width="10.1640625" customWidth="1"/>
    <col min="16" max="16" width="10.5" customWidth="1"/>
    <col min="17" max="17" width="10.1640625" customWidth="1"/>
  </cols>
  <sheetData>
    <row r="30" ht="14.5" customHeight="1" x14ac:dyDescent="0.2"/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6B1C-9FCE-43E0-8C87-44454E8A4565}">
  <dimension ref="A1:I38"/>
  <sheetViews>
    <sheetView topLeftCell="A9" zoomScale="80" workbookViewId="0">
      <selection activeCell="C39" sqref="C39"/>
    </sheetView>
  </sheetViews>
  <sheetFormatPr baseColWidth="10" defaultColWidth="8.83203125" defaultRowHeight="15" x14ac:dyDescent="0.2"/>
  <cols>
    <col min="1" max="1" width="38.6640625" customWidth="1"/>
    <col min="2" max="2" width="26.5" customWidth="1"/>
    <col min="3" max="3" width="23.1640625" customWidth="1"/>
  </cols>
  <sheetData>
    <row r="1" spans="1:8" x14ac:dyDescent="0.2">
      <c r="A1" t="s">
        <v>12</v>
      </c>
      <c r="B1" s="11"/>
    </row>
    <row r="3" spans="1:8" x14ac:dyDescent="0.2">
      <c r="A3" s="79" t="s">
        <v>45</v>
      </c>
      <c r="B3" s="79"/>
      <c r="C3" s="79"/>
      <c r="D3" s="13"/>
      <c r="E3" s="13"/>
      <c r="F3" s="13"/>
    </row>
    <row r="4" spans="1:8" x14ac:dyDescent="0.2">
      <c r="A4" s="79"/>
      <c r="B4" s="79"/>
      <c r="C4" s="79"/>
      <c r="D4" s="13"/>
      <c r="E4" s="13"/>
      <c r="F4" s="13"/>
    </row>
    <row r="5" spans="1:8" x14ac:dyDescent="0.2">
      <c r="A5" s="79"/>
      <c r="B5" s="79"/>
      <c r="C5" s="79"/>
      <c r="D5" s="13"/>
      <c r="E5" s="13"/>
      <c r="F5" s="13"/>
    </row>
    <row r="6" spans="1:8" x14ac:dyDescent="0.2">
      <c r="A6" s="79"/>
      <c r="B6" s="79"/>
      <c r="C6" s="79"/>
      <c r="D6" s="13"/>
      <c r="E6" s="13"/>
      <c r="F6" s="13"/>
    </row>
    <row r="7" spans="1:8" x14ac:dyDescent="0.2">
      <c r="A7" s="17"/>
      <c r="B7" s="17" t="s">
        <v>13</v>
      </c>
    </row>
    <row r="8" spans="1:8" x14ac:dyDescent="0.2">
      <c r="A8" s="17" t="s">
        <v>14</v>
      </c>
      <c r="B8" s="22">
        <v>0.2</v>
      </c>
    </row>
    <row r="9" spans="1:8" x14ac:dyDescent="0.2">
      <c r="A9" s="17" t="s">
        <v>15</v>
      </c>
      <c r="B9" s="22">
        <v>0.1</v>
      </c>
    </row>
    <row r="10" spans="1:8" ht="14.5" customHeight="1" x14ac:dyDescent="0.2">
      <c r="A10" s="81" t="s">
        <v>46</v>
      </c>
      <c r="B10" s="81"/>
      <c r="C10" s="81"/>
      <c r="D10" s="81"/>
      <c r="E10" s="14"/>
    </row>
    <row r="11" spans="1:8" x14ac:dyDescent="0.2">
      <c r="A11" s="81"/>
      <c r="B11" s="81"/>
      <c r="C11" s="81"/>
      <c r="D11" s="81"/>
      <c r="E11" s="14"/>
      <c r="F11" s="14"/>
      <c r="G11" s="14"/>
      <c r="H11" s="14"/>
    </row>
    <row r="12" spans="1:8" x14ac:dyDescent="0.2">
      <c r="F12" s="14"/>
      <c r="G12" s="14"/>
      <c r="H12" s="14"/>
    </row>
    <row r="13" spans="1:8" x14ac:dyDescent="0.2">
      <c r="A13" s="80" t="s">
        <v>16</v>
      </c>
      <c r="B13" s="80"/>
      <c r="C13" s="80"/>
      <c r="D13" s="12"/>
      <c r="E13" s="12"/>
    </row>
    <row r="14" spans="1:8" x14ac:dyDescent="0.2">
      <c r="A14" s="17" t="s">
        <v>17</v>
      </c>
      <c r="B14" s="20" t="s">
        <v>47</v>
      </c>
      <c r="C14" s="21">
        <f>1/5</f>
        <v>0.2</v>
      </c>
      <c r="D14" t="s">
        <v>48</v>
      </c>
      <c r="E14" s="12"/>
    </row>
    <row r="15" spans="1:8" x14ac:dyDescent="0.2">
      <c r="A15" s="17" t="s">
        <v>18</v>
      </c>
      <c r="B15" s="20" t="s">
        <v>19</v>
      </c>
      <c r="C15" s="21">
        <v>1</v>
      </c>
      <c r="D15" s="12"/>
      <c r="E15" s="12"/>
    </row>
    <row r="16" spans="1:8" x14ac:dyDescent="0.2">
      <c r="A16" s="17" t="s">
        <v>20</v>
      </c>
      <c r="B16" s="20" t="s">
        <v>21</v>
      </c>
      <c r="C16" s="21">
        <v>4</v>
      </c>
    </row>
    <row r="17" spans="1:9" x14ac:dyDescent="0.2">
      <c r="A17" s="17" t="s">
        <v>22</v>
      </c>
      <c r="B17" s="20" t="s">
        <v>23</v>
      </c>
      <c r="C17" s="21">
        <f>1/C16</f>
        <v>0.25</v>
      </c>
    </row>
    <row r="18" spans="1:9" x14ac:dyDescent="0.2">
      <c r="A18" s="16"/>
      <c r="B18" s="16"/>
      <c r="C18" s="16"/>
    </row>
    <row r="19" spans="1:9" x14ac:dyDescent="0.2">
      <c r="A19" s="80" t="s">
        <v>24</v>
      </c>
      <c r="B19" s="80"/>
      <c r="C19" s="80"/>
    </row>
    <row r="20" spans="1:9" x14ac:dyDescent="0.2">
      <c r="A20" s="17" t="s">
        <v>25</v>
      </c>
      <c r="B20" s="20" t="s">
        <v>26</v>
      </c>
      <c r="C20" s="21">
        <f xml:space="preserve"> 1-C30</f>
        <v>0.19999999999999996</v>
      </c>
    </row>
    <row r="21" spans="1:9" x14ac:dyDescent="0.2">
      <c r="A21" s="17" t="s">
        <v>27</v>
      </c>
      <c r="B21" s="20"/>
      <c r="C21" s="21">
        <v>0</v>
      </c>
    </row>
    <row r="22" spans="1:9" x14ac:dyDescent="0.2">
      <c r="A22" s="17" t="s">
        <v>28</v>
      </c>
      <c r="B22" s="20"/>
      <c r="C22" s="21">
        <v>1</v>
      </c>
    </row>
    <row r="23" spans="1:9" x14ac:dyDescent="0.2">
      <c r="A23" s="17" t="s">
        <v>29</v>
      </c>
      <c r="B23" s="20" t="s">
        <v>30</v>
      </c>
      <c r="C23" s="21">
        <f>C30</f>
        <v>0.8</v>
      </c>
    </row>
    <row r="24" spans="1:9" ht="16" x14ac:dyDescent="0.2">
      <c r="A24" s="17" t="s">
        <v>31</v>
      </c>
      <c r="B24" s="23" t="s">
        <v>51</v>
      </c>
      <c r="C24" s="21">
        <f>(C30^2*(C31^2+C32^2))/(2*(1-C30))</f>
        <v>0.40000000000000019</v>
      </c>
    </row>
    <row r="25" spans="1:9" x14ac:dyDescent="0.2">
      <c r="A25" s="17" t="s">
        <v>49</v>
      </c>
      <c r="B25" s="20" t="s">
        <v>33</v>
      </c>
      <c r="C25" s="21">
        <f>C15*C23</f>
        <v>0.8</v>
      </c>
    </row>
    <row r="26" spans="1:9" x14ac:dyDescent="0.2">
      <c r="A26" s="17" t="s">
        <v>34</v>
      </c>
      <c r="B26" s="20" t="s">
        <v>35</v>
      </c>
      <c r="C26" s="21">
        <f>C24+C25</f>
        <v>1.2000000000000002</v>
      </c>
    </row>
    <row r="27" spans="1:9" ht="16" x14ac:dyDescent="0.2">
      <c r="A27" s="17" t="s">
        <v>36</v>
      </c>
      <c r="B27" s="20" t="s">
        <v>52</v>
      </c>
      <c r="C27" s="21">
        <f>C24/C29</f>
        <v>2.0000000000000009</v>
      </c>
    </row>
    <row r="28" spans="1:9" x14ac:dyDescent="0.2">
      <c r="A28" s="17" t="s">
        <v>37</v>
      </c>
      <c r="B28" s="20" t="s">
        <v>38</v>
      </c>
      <c r="C28" s="21">
        <f>C27+C16</f>
        <v>6.0000000000000009</v>
      </c>
    </row>
    <row r="29" spans="1:9" ht="16" x14ac:dyDescent="0.2">
      <c r="A29" s="17" t="s">
        <v>53</v>
      </c>
      <c r="B29" s="24" t="s">
        <v>39</v>
      </c>
      <c r="C29" s="21">
        <f>C14</f>
        <v>0.2</v>
      </c>
    </row>
    <row r="30" spans="1:9" x14ac:dyDescent="0.2">
      <c r="A30" s="17" t="s">
        <v>40</v>
      </c>
      <c r="B30" s="20" t="s">
        <v>41</v>
      </c>
      <c r="C30" s="21">
        <f>C14/(C15*C17)</f>
        <v>0.8</v>
      </c>
    </row>
    <row r="31" spans="1:9" ht="25.75" customHeight="1" x14ac:dyDescent="0.2">
      <c r="A31" s="18" t="s">
        <v>42</v>
      </c>
      <c r="B31" s="25" t="s">
        <v>43</v>
      </c>
      <c r="C31" s="21">
        <v>0</v>
      </c>
      <c r="D31" t="s">
        <v>50</v>
      </c>
      <c r="F31" s="12"/>
      <c r="G31" s="12"/>
      <c r="H31" s="12"/>
      <c r="I31" s="12"/>
    </row>
    <row r="32" spans="1:9" x14ac:dyDescent="0.2">
      <c r="A32" s="19" t="s">
        <v>44</v>
      </c>
      <c r="B32" s="26"/>
      <c r="C32" s="21">
        <f>2/4</f>
        <v>0.5</v>
      </c>
      <c r="D32" t="s">
        <v>128</v>
      </c>
      <c r="F32" s="12"/>
      <c r="G32" s="12"/>
      <c r="H32" s="12"/>
      <c r="I32" s="12"/>
    </row>
    <row r="33" spans="1:9" x14ac:dyDescent="0.2">
      <c r="F33" s="12"/>
      <c r="G33" s="12"/>
      <c r="H33" s="12"/>
      <c r="I33" s="12"/>
    </row>
    <row r="34" spans="1:9" x14ac:dyDescent="0.2">
      <c r="F34" s="12"/>
      <c r="G34" s="12"/>
      <c r="H34" s="12"/>
      <c r="I34" s="12"/>
    </row>
    <row r="35" spans="1:9" x14ac:dyDescent="0.2">
      <c r="A35" s="82" t="s">
        <v>129</v>
      </c>
      <c r="B35" s="82"/>
      <c r="C35" s="82"/>
    </row>
    <row r="36" spans="1:9" x14ac:dyDescent="0.2">
      <c r="A36" s="82"/>
      <c r="B36" s="82"/>
      <c r="C36" s="82"/>
    </row>
    <row r="37" spans="1:9" x14ac:dyDescent="0.2">
      <c r="A37" s="82"/>
      <c r="B37" s="82"/>
      <c r="C37" s="82"/>
    </row>
    <row r="38" spans="1:9" x14ac:dyDescent="0.2">
      <c r="A38" s="82"/>
      <c r="B38" s="82"/>
      <c r="C38" s="82"/>
    </row>
  </sheetData>
  <mergeCells count="5">
    <mergeCell ref="A3:C6"/>
    <mergeCell ref="A13:C13"/>
    <mergeCell ref="A19:C19"/>
    <mergeCell ref="A10:D11"/>
    <mergeCell ref="A35:C3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7FD5-D6E0-467A-843E-3DBFA3CD850A}">
  <dimension ref="A1:E34"/>
  <sheetViews>
    <sheetView tabSelected="1" topLeftCell="A10" zoomScale="90" zoomScaleNormal="90" workbookViewId="0">
      <selection activeCell="C25" sqref="C25"/>
    </sheetView>
  </sheetViews>
  <sheetFormatPr baseColWidth="10" defaultColWidth="8.83203125" defaultRowHeight="15" x14ac:dyDescent="0.2"/>
  <cols>
    <col min="1" max="1" width="36.33203125" customWidth="1"/>
    <col min="2" max="2" width="34.83203125" customWidth="1"/>
    <col min="3" max="3" width="22.5" customWidth="1"/>
  </cols>
  <sheetData>
    <row r="1" spans="1:5" x14ac:dyDescent="0.2">
      <c r="A1" s="79" t="s">
        <v>54</v>
      </c>
      <c r="B1" s="79"/>
      <c r="C1" s="79"/>
      <c r="D1" s="79"/>
      <c r="E1" s="13"/>
    </row>
    <row r="2" spans="1:5" x14ac:dyDescent="0.2">
      <c r="A2" s="79"/>
      <c r="B2" s="79"/>
      <c r="C2" s="79"/>
      <c r="D2" s="79"/>
      <c r="E2" s="13"/>
    </row>
    <row r="4" spans="1:5" x14ac:dyDescent="0.2">
      <c r="A4" s="87" t="s">
        <v>55</v>
      </c>
      <c r="B4" s="87"/>
      <c r="C4" s="87"/>
      <c r="D4" s="87"/>
    </row>
    <row r="5" spans="1:5" x14ac:dyDescent="0.2">
      <c r="A5" s="79" t="s">
        <v>68</v>
      </c>
      <c r="B5" s="79"/>
      <c r="C5" s="79"/>
      <c r="D5" s="79"/>
      <c r="E5" s="13"/>
    </row>
    <row r="6" spans="1:5" x14ac:dyDescent="0.2">
      <c r="A6" s="79"/>
      <c r="B6" s="79"/>
      <c r="C6" s="79"/>
      <c r="D6" s="79"/>
      <c r="E6" s="13"/>
    </row>
    <row r="7" spans="1:5" x14ac:dyDescent="0.2">
      <c r="A7" s="79"/>
      <c r="B7" s="79"/>
      <c r="C7" s="79"/>
      <c r="D7" s="79"/>
      <c r="E7" s="13"/>
    </row>
    <row r="9" spans="1:5" x14ac:dyDescent="0.2">
      <c r="A9" s="84" t="s">
        <v>56</v>
      </c>
      <c r="B9" s="84"/>
      <c r="C9" s="84"/>
    </row>
    <row r="10" spans="1:5" x14ac:dyDescent="0.2">
      <c r="A10" s="17" t="s">
        <v>57</v>
      </c>
      <c r="B10" s="20" t="s">
        <v>99</v>
      </c>
      <c r="C10" s="30">
        <f>0.9*0.2</f>
        <v>0.18000000000000002</v>
      </c>
    </row>
    <row r="11" spans="1:5" x14ac:dyDescent="0.2">
      <c r="A11" s="17" t="s">
        <v>18</v>
      </c>
      <c r="B11" s="20" t="s">
        <v>19</v>
      </c>
      <c r="C11" s="30">
        <v>2</v>
      </c>
    </row>
    <row r="12" spans="1:5" x14ac:dyDescent="0.2">
      <c r="A12" s="17" t="s">
        <v>20</v>
      </c>
      <c r="B12" s="20" t="s">
        <v>21</v>
      </c>
      <c r="C12" s="30">
        <v>20</v>
      </c>
    </row>
    <row r="13" spans="1:5" x14ac:dyDescent="0.2">
      <c r="A13" s="17" t="s">
        <v>58</v>
      </c>
      <c r="B13" s="20" t="s">
        <v>23</v>
      </c>
      <c r="C13" s="30">
        <f>1/C12</f>
        <v>0.05</v>
      </c>
    </row>
    <row r="15" spans="1:5" x14ac:dyDescent="0.2">
      <c r="A15" s="84" t="s">
        <v>59</v>
      </c>
      <c r="B15" s="84"/>
      <c r="C15" s="84"/>
    </row>
    <row r="16" spans="1:5" ht="64.75" customHeight="1" x14ac:dyDescent="0.2">
      <c r="A16" s="17" t="s">
        <v>25</v>
      </c>
      <c r="B16" s="20"/>
      <c r="C16" s="21">
        <f>((C11*C26)^0/FACT(0)+(C11*C26)^1/FACT(1)+(C11*C26)^2/FACT(2)+(C11*C26)^(C11+1)/(C11*FACT(C11))*(1-C26^5)/(1-C26))^(-1)</f>
        <v>3.6764839100828731E-3</v>
      </c>
    </row>
    <row r="17" spans="1:5" x14ac:dyDescent="0.2">
      <c r="A17" s="17" t="s">
        <v>27</v>
      </c>
      <c r="B17" s="20" t="s">
        <v>60</v>
      </c>
      <c r="C17" s="21">
        <f>( (C11*C26)^(C11+5) / (C11^5*FACT(C11)) ) * C16</f>
        <v>0.4501634194156845</v>
      </c>
    </row>
    <row r="18" spans="1:5" x14ac:dyDescent="0.2">
      <c r="A18" s="17" t="s">
        <v>28</v>
      </c>
      <c r="B18" s="20" t="s">
        <v>61</v>
      </c>
      <c r="C18" s="21">
        <f>1-C17</f>
        <v>0.5498365805843155</v>
      </c>
    </row>
    <row r="19" spans="1:5" x14ac:dyDescent="0.2">
      <c r="A19" s="17" t="s">
        <v>29</v>
      </c>
      <c r="B19" s="20" t="s">
        <v>62</v>
      </c>
      <c r="C19" s="28">
        <f>C26*C18</f>
        <v>0.98970584505176795</v>
      </c>
      <c r="D19" s="85"/>
      <c r="E19" s="86"/>
    </row>
    <row r="20" spans="1:5" ht="33" customHeight="1" x14ac:dyDescent="0.2">
      <c r="A20" s="17" t="s">
        <v>31</v>
      </c>
      <c r="B20" s="23" t="s">
        <v>63</v>
      </c>
      <c r="C20" s="21">
        <f>(((C26*2)^(2+1)*C16)/(2*2))*((1-6*C26^5+5*C26^6)/((1-C26)^2))</f>
        <v>3.8652577705810973</v>
      </c>
    </row>
    <row r="21" spans="1:5" x14ac:dyDescent="0.2">
      <c r="A21" s="17" t="s">
        <v>49</v>
      </c>
      <c r="B21" s="20" t="s">
        <v>33</v>
      </c>
      <c r="C21" s="21">
        <f>C11*C19</f>
        <v>1.9794116901035359</v>
      </c>
    </row>
    <row r="22" spans="1:5" x14ac:dyDescent="0.2">
      <c r="A22" s="17" t="s">
        <v>34</v>
      </c>
      <c r="B22" s="20" t="s">
        <v>35</v>
      </c>
      <c r="C22" s="21">
        <f>C20+C21</f>
        <v>5.8446694606846332</v>
      </c>
    </row>
    <row r="23" spans="1:5" ht="24.5" customHeight="1" x14ac:dyDescent="0.2">
      <c r="A23" s="18" t="s">
        <v>36</v>
      </c>
      <c r="B23" s="20" t="s">
        <v>52</v>
      </c>
      <c r="C23" s="21">
        <f>C20/C25</f>
        <v>39.054611932487063</v>
      </c>
    </row>
    <row r="24" spans="1:5" x14ac:dyDescent="0.2">
      <c r="A24" s="17" t="s">
        <v>37</v>
      </c>
      <c r="B24" s="20" t="s">
        <v>38</v>
      </c>
      <c r="C24" s="21">
        <f>C23+C12</f>
        <v>59.054611932487063</v>
      </c>
    </row>
    <row r="25" spans="1:5" ht="16" x14ac:dyDescent="0.2">
      <c r="A25" s="27" t="s">
        <v>53</v>
      </c>
      <c r="B25" s="24" t="s">
        <v>64</v>
      </c>
      <c r="C25" s="21">
        <f>C13*C21</f>
        <v>9.8970584505176804E-2</v>
      </c>
    </row>
    <row r="26" spans="1:5" x14ac:dyDescent="0.2">
      <c r="A26" s="17" t="s">
        <v>40</v>
      </c>
      <c r="B26" s="20" t="s">
        <v>41</v>
      </c>
      <c r="C26" s="21">
        <f>C10/(C11*C13)</f>
        <v>1.8</v>
      </c>
      <c r="D26" t="s">
        <v>100</v>
      </c>
    </row>
    <row r="27" spans="1:5" ht="28.25" customHeight="1" x14ac:dyDescent="0.2">
      <c r="A27" s="18" t="s">
        <v>66</v>
      </c>
      <c r="B27" s="29" t="s">
        <v>67</v>
      </c>
      <c r="C27" s="21">
        <f>C16+(C11*C26)*C16</f>
        <v>1.6911825986381218E-2</v>
      </c>
    </row>
    <row r="30" spans="1:5" ht="14.5" customHeight="1" x14ac:dyDescent="0.2">
      <c r="A30" s="83" t="s">
        <v>123</v>
      </c>
      <c r="B30" s="83"/>
      <c r="C30" s="83"/>
    </row>
    <row r="31" spans="1:5" x14ac:dyDescent="0.2">
      <c r="A31" s="83"/>
      <c r="B31" s="83"/>
      <c r="C31" s="83"/>
    </row>
    <row r="32" spans="1:5" x14ac:dyDescent="0.2">
      <c r="A32" s="83"/>
      <c r="B32" s="83"/>
      <c r="C32" s="83"/>
    </row>
    <row r="33" spans="1:3" x14ac:dyDescent="0.2">
      <c r="A33" s="83"/>
      <c r="B33" s="83"/>
      <c r="C33" s="83"/>
    </row>
    <row r="34" spans="1:3" x14ac:dyDescent="0.2">
      <c r="A34" s="83"/>
      <c r="B34" s="83"/>
      <c r="C34" s="83"/>
    </row>
  </sheetData>
  <mergeCells count="7">
    <mergeCell ref="A30:C34"/>
    <mergeCell ref="A1:D2"/>
    <mergeCell ref="A5:D7"/>
    <mergeCell ref="A9:C9"/>
    <mergeCell ref="A15:C15"/>
    <mergeCell ref="D19:E19"/>
    <mergeCell ref="A4:D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BF23-DD34-4A8C-940E-8D3C51CE025E}">
  <dimension ref="A1:D31"/>
  <sheetViews>
    <sheetView topLeftCell="A4" zoomScale="90" zoomScaleNormal="90" workbookViewId="0">
      <selection activeCell="D26" sqref="D26"/>
    </sheetView>
  </sheetViews>
  <sheetFormatPr baseColWidth="10" defaultColWidth="8.83203125" defaultRowHeight="15" x14ac:dyDescent="0.2"/>
  <cols>
    <col min="1" max="1" width="36" customWidth="1"/>
    <col min="2" max="2" width="30.1640625" customWidth="1"/>
    <col min="3" max="3" width="25" customWidth="1"/>
  </cols>
  <sheetData>
    <row r="1" spans="1:4" x14ac:dyDescent="0.2">
      <c r="A1" s="79" t="s">
        <v>74</v>
      </c>
      <c r="B1" s="79"/>
      <c r="C1" s="79"/>
      <c r="D1" s="13"/>
    </row>
    <row r="2" spans="1:4" x14ac:dyDescent="0.2">
      <c r="A2" s="79"/>
      <c r="B2" s="79"/>
      <c r="C2" s="79"/>
      <c r="D2" s="13"/>
    </row>
    <row r="3" spans="1:4" x14ac:dyDescent="0.2">
      <c r="A3" s="79"/>
      <c r="B3" s="79"/>
      <c r="C3" s="79"/>
      <c r="D3" s="13"/>
    </row>
    <row r="4" spans="1:4" x14ac:dyDescent="0.2">
      <c r="A4" s="13"/>
      <c r="B4" s="13"/>
      <c r="C4" s="13"/>
      <c r="D4" s="13"/>
    </row>
    <row r="6" spans="1:4" x14ac:dyDescent="0.2">
      <c r="A6" s="84" t="s">
        <v>69</v>
      </c>
      <c r="B6" s="84"/>
      <c r="C6" s="84"/>
    </row>
    <row r="7" spans="1:4" x14ac:dyDescent="0.2">
      <c r="A7" s="17" t="s">
        <v>57</v>
      </c>
      <c r="B7" s="20" t="s">
        <v>70</v>
      </c>
      <c r="C7" s="30">
        <f>'Станки В1-В2'!C10*'Станки В1-В2'!C17</f>
        <v>8.1029415494823218E-2</v>
      </c>
    </row>
    <row r="8" spans="1:4" x14ac:dyDescent="0.2">
      <c r="A8" s="17" t="s">
        <v>18</v>
      </c>
      <c r="B8" s="20" t="s">
        <v>19</v>
      </c>
      <c r="C8" s="30">
        <v>1</v>
      </c>
    </row>
    <row r="9" spans="1:4" x14ac:dyDescent="0.2">
      <c r="A9" s="17" t="s">
        <v>20</v>
      </c>
      <c r="B9" s="20" t="s">
        <v>21</v>
      </c>
      <c r="C9" s="30">
        <v>6</v>
      </c>
    </row>
    <row r="10" spans="1:4" x14ac:dyDescent="0.2">
      <c r="A10" s="17" t="s">
        <v>58</v>
      </c>
      <c r="B10" s="20" t="s">
        <v>23</v>
      </c>
      <c r="C10" s="30">
        <f>1/C9</f>
        <v>0.16666666666666666</v>
      </c>
    </row>
    <row r="12" spans="1:4" x14ac:dyDescent="0.2">
      <c r="A12" s="84" t="s">
        <v>71</v>
      </c>
      <c r="B12" s="84"/>
      <c r="C12" s="84"/>
    </row>
    <row r="13" spans="1:4" x14ac:dyDescent="0.2">
      <c r="A13" s="17" t="s">
        <v>25</v>
      </c>
      <c r="B13" s="20" t="s">
        <v>75</v>
      </c>
      <c r="C13" s="21">
        <f>1-C23</f>
        <v>0.51382350703106061</v>
      </c>
    </row>
    <row r="14" spans="1:4" x14ac:dyDescent="0.2">
      <c r="A14" s="17" t="s">
        <v>27</v>
      </c>
      <c r="B14" s="20"/>
      <c r="C14" s="21">
        <v>0</v>
      </c>
    </row>
    <row r="15" spans="1:4" x14ac:dyDescent="0.2">
      <c r="A15" s="17" t="s">
        <v>28</v>
      </c>
      <c r="B15" s="20" t="s">
        <v>61</v>
      </c>
      <c r="C15" s="21">
        <f>1-C14</f>
        <v>1</v>
      </c>
    </row>
    <row r="16" spans="1:4" x14ac:dyDescent="0.2">
      <c r="A16" s="17" t="s">
        <v>29</v>
      </c>
      <c r="B16" s="20" t="s">
        <v>30</v>
      </c>
      <c r="C16" s="28">
        <f>C23*C15</f>
        <v>0.48617649296893933</v>
      </c>
    </row>
    <row r="17" spans="1:4" ht="30" customHeight="1" x14ac:dyDescent="0.2">
      <c r="A17" s="17" t="s">
        <v>31</v>
      </c>
      <c r="B17" s="23" t="s">
        <v>72</v>
      </c>
      <c r="C17" s="21">
        <f>(C23^2*(C24^2+C25^2))/(2*(1-C23))</f>
        <v>0.46001706632952605</v>
      </c>
    </row>
    <row r="18" spans="1:4" x14ac:dyDescent="0.2">
      <c r="A18" s="17" t="s">
        <v>49</v>
      </c>
      <c r="B18" s="20" t="s">
        <v>33</v>
      </c>
      <c r="C18" s="21">
        <f>C8*C16</f>
        <v>0.48617649296893933</v>
      </c>
    </row>
    <row r="19" spans="1:4" ht="13.25" customHeight="1" x14ac:dyDescent="0.2">
      <c r="A19" s="17" t="s">
        <v>34</v>
      </c>
      <c r="B19" s="20" t="s">
        <v>35</v>
      </c>
      <c r="C19" s="21">
        <f>C17+C18</f>
        <v>0.94619355929846538</v>
      </c>
    </row>
    <row r="20" spans="1:4" ht="41.5" customHeight="1" x14ac:dyDescent="0.2">
      <c r="A20" s="18" t="s">
        <v>36</v>
      </c>
      <c r="B20" s="20" t="s">
        <v>52</v>
      </c>
      <c r="C20" s="21">
        <f>C17/C22</f>
        <v>5.6771613557907932</v>
      </c>
    </row>
    <row r="21" spans="1:4" x14ac:dyDescent="0.2">
      <c r="A21" s="17" t="s">
        <v>37</v>
      </c>
      <c r="B21" s="20" t="s">
        <v>38</v>
      </c>
      <c r="C21" s="21">
        <f>C20+C9</f>
        <v>11.677161355790794</v>
      </c>
    </row>
    <row r="22" spans="1:4" ht="16" x14ac:dyDescent="0.2">
      <c r="A22" s="27" t="s">
        <v>53</v>
      </c>
      <c r="B22" s="24" t="s">
        <v>73</v>
      </c>
      <c r="C22" s="21">
        <f>C7</f>
        <v>8.1029415494823218E-2</v>
      </c>
    </row>
    <row r="23" spans="1:4" x14ac:dyDescent="0.2">
      <c r="A23" s="17" t="s">
        <v>40</v>
      </c>
      <c r="B23" s="20" t="s">
        <v>41</v>
      </c>
      <c r="C23" s="21">
        <f>C7/(C8*C10)</f>
        <v>0.48617649296893933</v>
      </c>
      <c r="D23" t="s">
        <v>65</v>
      </c>
    </row>
    <row r="24" spans="1:4" ht="29.5" customHeight="1" x14ac:dyDescent="0.2">
      <c r="A24" s="18" t="s">
        <v>42</v>
      </c>
      <c r="B24" s="23"/>
      <c r="C24" s="21">
        <v>1</v>
      </c>
      <c r="D24" t="s">
        <v>76</v>
      </c>
    </row>
    <row r="25" spans="1:4" ht="31.25" customHeight="1" x14ac:dyDescent="0.2">
      <c r="A25" s="31" t="s">
        <v>44</v>
      </c>
      <c r="B25" s="26"/>
      <c r="C25" s="21">
        <v>1</v>
      </c>
      <c r="D25" t="s">
        <v>76</v>
      </c>
    </row>
    <row r="27" spans="1:4" x14ac:dyDescent="0.2">
      <c r="A27" s="83" t="s">
        <v>124</v>
      </c>
      <c r="B27" s="83"/>
      <c r="C27" s="83"/>
    </row>
    <row r="28" spans="1:4" x14ac:dyDescent="0.2">
      <c r="A28" s="83"/>
      <c r="B28" s="83"/>
      <c r="C28" s="83"/>
    </row>
    <row r="29" spans="1:4" x14ac:dyDescent="0.2">
      <c r="A29" s="83"/>
      <c r="B29" s="83"/>
      <c r="C29" s="83"/>
    </row>
    <row r="30" spans="1:4" x14ac:dyDescent="0.2">
      <c r="A30" s="83"/>
      <c r="B30" s="83"/>
      <c r="C30" s="83"/>
    </row>
    <row r="31" spans="1:4" x14ac:dyDescent="0.2">
      <c r="A31" s="83"/>
      <c r="B31" s="83"/>
      <c r="C31" s="83"/>
    </row>
  </sheetData>
  <mergeCells count="4">
    <mergeCell ref="A1:C3"/>
    <mergeCell ref="A6:C6"/>
    <mergeCell ref="A12:C12"/>
    <mergeCell ref="A27:C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B228-0253-49F1-9B49-F186C72F9CC1}">
  <dimension ref="A1:K21"/>
  <sheetViews>
    <sheetView workbookViewId="0">
      <selection activeCell="E21" sqref="E21"/>
    </sheetView>
  </sheetViews>
  <sheetFormatPr baseColWidth="10" defaultColWidth="8.83203125" defaultRowHeight="15" x14ac:dyDescent="0.2"/>
  <cols>
    <col min="4" max="4" width="12" bestFit="1" customWidth="1"/>
  </cols>
  <sheetData>
    <row r="1" spans="1:11" x14ac:dyDescent="0.2">
      <c r="A1" t="s">
        <v>93</v>
      </c>
    </row>
    <row r="2" spans="1:11" x14ac:dyDescent="0.2">
      <c r="A2" s="89" t="s">
        <v>77</v>
      </c>
      <c r="B2" s="89"/>
      <c r="C2" s="89"/>
      <c r="D2" s="89"/>
      <c r="E2" s="90"/>
      <c r="F2" s="90"/>
      <c r="G2" s="90"/>
      <c r="H2" s="90"/>
      <c r="I2" s="90"/>
      <c r="J2" s="90"/>
    </row>
    <row r="3" spans="1:11" x14ac:dyDescent="0.2">
      <c r="A3" s="91" t="s">
        <v>78</v>
      </c>
      <c r="B3" s="92"/>
      <c r="C3" s="92"/>
      <c r="D3" s="92"/>
      <c r="E3" s="33">
        <f>B14*B15*480+C14*C15*480+D14*D15*480</f>
        <v>4656</v>
      </c>
      <c r="F3" s="34"/>
      <c r="G3" s="34"/>
      <c r="H3" s="34"/>
      <c r="I3" s="34"/>
      <c r="J3" s="35"/>
    </row>
    <row r="4" spans="1:11" x14ac:dyDescent="0.2">
      <c r="A4" s="89" t="s">
        <v>79</v>
      </c>
      <c r="B4" s="89"/>
      <c r="C4" s="89"/>
      <c r="D4" s="89"/>
      <c r="E4" s="93"/>
      <c r="F4" s="93"/>
      <c r="G4" s="93"/>
      <c r="H4" s="93"/>
      <c r="I4" s="93"/>
      <c r="J4" s="93"/>
    </row>
    <row r="5" spans="1:11" x14ac:dyDescent="0.2">
      <c r="A5" s="91" t="s">
        <v>80</v>
      </c>
      <c r="B5" s="92"/>
      <c r="C5" s="92"/>
      <c r="D5" s="92"/>
      <c r="E5" s="33">
        <f>B14*B16*480+C14*C16*480+D14*D16*480</f>
        <v>1248</v>
      </c>
      <c r="F5" s="34"/>
      <c r="G5" s="34"/>
      <c r="H5" s="34"/>
      <c r="I5" s="34"/>
      <c r="J5" s="35"/>
    </row>
    <row r="6" spans="1:11" x14ac:dyDescent="0.2">
      <c r="A6" s="89" t="s">
        <v>81</v>
      </c>
      <c r="B6" s="89"/>
      <c r="C6" s="89"/>
      <c r="D6" s="89"/>
      <c r="E6" s="93"/>
      <c r="F6" s="93"/>
      <c r="G6" s="93"/>
      <c r="H6" s="93"/>
      <c r="I6" s="93"/>
      <c r="J6" s="93"/>
    </row>
    <row r="7" spans="1:11" x14ac:dyDescent="0.2">
      <c r="A7" s="91" t="s">
        <v>82</v>
      </c>
      <c r="B7" s="92"/>
      <c r="C7" s="92"/>
      <c r="D7" s="92"/>
      <c r="E7" s="33">
        <f>(B18*B10+(B19-B18)*B11)*B17+(C18*C10+(C19-C18)*C11)*B17+(D18*D10+(D19-D18)*D11)*B17</f>
        <v>583.77882388750299</v>
      </c>
      <c r="F7" s="34"/>
      <c r="G7" s="34"/>
      <c r="H7" s="34"/>
      <c r="I7" s="34"/>
      <c r="J7" s="35"/>
    </row>
    <row r="9" spans="1:11" x14ac:dyDescent="0.2">
      <c r="A9" s="17"/>
      <c r="B9" s="17" t="s">
        <v>13</v>
      </c>
      <c r="C9" s="17" t="s">
        <v>83</v>
      </c>
      <c r="D9" s="17" t="s">
        <v>84</v>
      </c>
      <c r="E9" s="32"/>
      <c r="F9" s="32"/>
      <c r="G9" s="32"/>
      <c r="H9" s="32"/>
    </row>
    <row r="10" spans="1:11" x14ac:dyDescent="0.2">
      <c r="A10" s="17" t="s">
        <v>14</v>
      </c>
      <c r="B10" s="22">
        <v>0.2</v>
      </c>
      <c r="C10" s="22">
        <v>0.3</v>
      </c>
      <c r="D10" s="22">
        <v>0.8</v>
      </c>
      <c r="E10" s="32"/>
      <c r="F10" s="32"/>
      <c r="G10" s="32"/>
      <c r="H10" s="32"/>
    </row>
    <row r="11" spans="1:11" x14ac:dyDescent="0.2">
      <c r="A11" s="17" t="s">
        <v>15</v>
      </c>
      <c r="B11" s="22">
        <v>0.1</v>
      </c>
      <c r="C11" s="22">
        <v>0.1</v>
      </c>
      <c r="D11" s="22">
        <v>0.1</v>
      </c>
      <c r="E11" s="32"/>
      <c r="F11" s="32"/>
      <c r="G11" s="32"/>
      <c r="H11" s="32"/>
    </row>
    <row r="12" spans="1:11" ht="14.5" customHeight="1" x14ac:dyDescent="0.2">
      <c r="A12" s="81" t="s">
        <v>46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</row>
    <row r="13" spans="1:11" x14ac:dyDescent="0.2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</row>
    <row r="14" spans="1:11" x14ac:dyDescent="0.2">
      <c r="A14" s="38" t="s">
        <v>85</v>
      </c>
      <c r="B14" s="36">
        <f>'Станок А'!$C$29</f>
        <v>0.2</v>
      </c>
      <c r="C14" s="36">
        <f>'Станки В1-В2'!$C$25</f>
        <v>9.8970584505176804E-2</v>
      </c>
      <c r="D14" s="36">
        <f>'Станок С'!C22</f>
        <v>8.1029415494823218E-2</v>
      </c>
    </row>
    <row r="15" spans="1:11" x14ac:dyDescent="0.2">
      <c r="A15" s="17" t="s">
        <v>86</v>
      </c>
      <c r="B15" s="36">
        <v>8</v>
      </c>
      <c r="C15" s="36">
        <v>45</v>
      </c>
      <c r="D15" s="36">
        <v>45</v>
      </c>
    </row>
    <row r="16" spans="1:11" x14ac:dyDescent="0.2">
      <c r="A16" s="17" t="s">
        <v>87</v>
      </c>
      <c r="B16" s="36">
        <v>4</v>
      </c>
      <c r="C16" s="36">
        <v>10</v>
      </c>
      <c r="D16" s="36">
        <v>10</v>
      </c>
    </row>
    <row r="17" spans="1:5" x14ac:dyDescent="0.2">
      <c r="A17" s="38" t="s">
        <v>88</v>
      </c>
      <c r="B17" s="36">
        <v>480</v>
      </c>
      <c r="C17" s="36"/>
      <c r="D17" s="36"/>
    </row>
    <row r="18" spans="1:5" x14ac:dyDescent="0.2">
      <c r="A18" s="38" t="s">
        <v>89</v>
      </c>
      <c r="B18" s="36">
        <f>'Станок А'!$C$25</f>
        <v>0.8</v>
      </c>
      <c r="C18" s="36">
        <f>'Станки В1-В2'!$C$21</f>
        <v>1.9794116901035359</v>
      </c>
      <c r="D18" s="36">
        <f>'Станок С'!C18</f>
        <v>0.48617649296893933</v>
      </c>
    </row>
    <row r="19" spans="1:5" x14ac:dyDescent="0.2">
      <c r="A19" s="38" t="s">
        <v>90</v>
      </c>
      <c r="B19" s="36">
        <v>1</v>
      </c>
      <c r="C19" s="36">
        <v>2</v>
      </c>
      <c r="D19" s="36">
        <v>1</v>
      </c>
    </row>
    <row r="21" spans="1:5" x14ac:dyDescent="0.2">
      <c r="A21" s="84" t="s">
        <v>91</v>
      </c>
      <c r="B21" s="84"/>
      <c r="C21" s="88" t="s">
        <v>92</v>
      </c>
      <c r="D21" s="88"/>
      <c r="E21" s="37">
        <f>E3-E5-E7</f>
        <v>2824.2211761124972</v>
      </c>
    </row>
  </sheetData>
  <mergeCells count="9">
    <mergeCell ref="A21:B21"/>
    <mergeCell ref="C21:D21"/>
    <mergeCell ref="A12:K13"/>
    <mergeCell ref="A2:J2"/>
    <mergeCell ref="A3:D3"/>
    <mergeCell ref="A4:J4"/>
    <mergeCell ref="A5:D5"/>
    <mergeCell ref="A6:J6"/>
    <mergeCell ref="A7:D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8F66-71D0-4B66-9116-A703A87B8FA5}">
  <dimension ref="A1:D37"/>
  <sheetViews>
    <sheetView topLeftCell="A13" zoomScale="90" zoomScaleNormal="90" workbookViewId="0">
      <selection activeCell="A33" sqref="A33:C37"/>
    </sheetView>
  </sheetViews>
  <sheetFormatPr baseColWidth="10" defaultColWidth="8.83203125" defaultRowHeight="15" x14ac:dyDescent="0.2"/>
  <cols>
    <col min="1" max="1" width="35.5" customWidth="1"/>
    <col min="2" max="2" width="15.1640625" customWidth="1"/>
    <col min="3" max="3" width="35.33203125" customWidth="1"/>
  </cols>
  <sheetData>
    <row r="1" spans="1:4" x14ac:dyDescent="0.2">
      <c r="A1" s="79" t="s">
        <v>96</v>
      </c>
      <c r="B1" s="79"/>
      <c r="C1" s="79"/>
      <c r="D1" s="13"/>
    </row>
    <row r="2" spans="1:4" x14ac:dyDescent="0.2">
      <c r="A2" s="79"/>
      <c r="B2" s="79"/>
      <c r="C2" s="79"/>
      <c r="D2" s="13"/>
    </row>
    <row r="3" spans="1:4" x14ac:dyDescent="0.2">
      <c r="A3" s="79"/>
      <c r="B3" s="79"/>
      <c r="C3" s="79"/>
      <c r="D3" s="13"/>
    </row>
    <row r="4" spans="1:4" x14ac:dyDescent="0.2">
      <c r="A4" s="79"/>
      <c r="B4" s="79"/>
      <c r="C4" s="79"/>
      <c r="D4" s="13"/>
    </row>
    <row r="5" spans="1:4" x14ac:dyDescent="0.2">
      <c r="A5" s="17"/>
      <c r="B5" s="17" t="s">
        <v>94</v>
      </c>
    </row>
    <row r="6" spans="1:4" x14ac:dyDescent="0.2">
      <c r="A6" s="17" t="s">
        <v>14</v>
      </c>
      <c r="B6" s="22">
        <v>0.4</v>
      </c>
    </row>
    <row r="7" spans="1:4" x14ac:dyDescent="0.2">
      <c r="A7" s="48" t="s">
        <v>15</v>
      </c>
      <c r="B7" s="49">
        <v>0.2</v>
      </c>
      <c r="C7" s="39"/>
    </row>
    <row r="8" spans="1:4" x14ac:dyDescent="0.2">
      <c r="A8" s="40"/>
      <c r="B8" s="40"/>
      <c r="C8" s="41"/>
      <c r="D8" s="42"/>
    </row>
    <row r="9" spans="1:4" x14ac:dyDescent="0.2">
      <c r="A9" s="43"/>
      <c r="B9" s="44"/>
      <c r="C9" s="45"/>
      <c r="D9" s="43"/>
    </row>
    <row r="10" spans="1:4" x14ac:dyDescent="0.2">
      <c r="A10" s="46"/>
      <c r="B10" s="47"/>
    </row>
    <row r="11" spans="1:4" x14ac:dyDescent="0.2">
      <c r="A11" s="94" t="s">
        <v>16</v>
      </c>
      <c r="B11" s="95"/>
      <c r="C11" s="95"/>
      <c r="D11" s="12"/>
    </row>
    <row r="12" spans="1:4" x14ac:dyDescent="0.2">
      <c r="A12" s="17" t="s">
        <v>17</v>
      </c>
      <c r="B12" s="20" t="s">
        <v>95</v>
      </c>
      <c r="C12" s="21">
        <f>1/4</f>
        <v>0.25</v>
      </c>
      <c r="D12" t="s">
        <v>97</v>
      </c>
    </row>
    <row r="13" spans="1:4" x14ac:dyDescent="0.2">
      <c r="A13" s="17" t="s">
        <v>18</v>
      </c>
      <c r="B13" s="20" t="s">
        <v>19</v>
      </c>
      <c r="C13" s="21">
        <v>1</v>
      </c>
      <c r="D13" s="12"/>
    </row>
    <row r="14" spans="1:4" x14ac:dyDescent="0.2">
      <c r="A14" s="17" t="s">
        <v>20</v>
      </c>
      <c r="B14" s="20" t="s">
        <v>21</v>
      </c>
      <c r="C14" s="21">
        <v>3</v>
      </c>
    </row>
    <row r="15" spans="1:4" x14ac:dyDescent="0.2">
      <c r="A15" s="17" t="s">
        <v>22</v>
      </c>
      <c r="B15" s="20" t="s">
        <v>23</v>
      </c>
      <c r="C15" s="21">
        <f>1/C14</f>
        <v>0.33333333333333331</v>
      </c>
    </row>
    <row r="16" spans="1:4" x14ac:dyDescent="0.2">
      <c r="A16" s="15"/>
      <c r="B16" s="15"/>
      <c r="C16" s="15"/>
    </row>
    <row r="17" spans="1:4" x14ac:dyDescent="0.2">
      <c r="A17" s="80" t="s">
        <v>24</v>
      </c>
      <c r="B17" s="80"/>
      <c r="C17" s="80"/>
    </row>
    <row r="18" spans="1:4" x14ac:dyDescent="0.2">
      <c r="A18" s="17" t="s">
        <v>25</v>
      </c>
      <c r="B18" s="20" t="s">
        <v>26</v>
      </c>
      <c r="C18" s="21">
        <f xml:space="preserve"> 1-C28</f>
        <v>0.25</v>
      </c>
    </row>
    <row r="19" spans="1:4" x14ac:dyDescent="0.2">
      <c r="A19" s="17" t="s">
        <v>27</v>
      </c>
      <c r="B19" s="20"/>
      <c r="C19" s="21">
        <v>0</v>
      </c>
    </row>
    <row r="20" spans="1:4" x14ac:dyDescent="0.2">
      <c r="A20" s="17" t="s">
        <v>28</v>
      </c>
      <c r="B20" s="20"/>
      <c r="C20" s="21">
        <v>1</v>
      </c>
    </row>
    <row r="21" spans="1:4" x14ac:dyDescent="0.2">
      <c r="A21" s="17" t="s">
        <v>29</v>
      </c>
      <c r="B21" s="20" t="s">
        <v>30</v>
      </c>
      <c r="C21" s="21">
        <f>C28</f>
        <v>0.75</v>
      </c>
    </row>
    <row r="22" spans="1:4" ht="32" x14ac:dyDescent="0.2">
      <c r="A22" s="17" t="s">
        <v>31</v>
      </c>
      <c r="B22" s="23" t="s">
        <v>51</v>
      </c>
      <c r="C22" s="21">
        <f>(C28^2*(C29^2+C30^2))/(2*(1-C28))</f>
        <v>1.25</v>
      </c>
    </row>
    <row r="23" spans="1:4" x14ac:dyDescent="0.2">
      <c r="A23" s="17" t="s">
        <v>32</v>
      </c>
      <c r="B23" s="20" t="s">
        <v>33</v>
      </c>
      <c r="C23" s="21">
        <f>C13*C21</f>
        <v>0.75</v>
      </c>
    </row>
    <row r="24" spans="1:4" x14ac:dyDescent="0.2">
      <c r="A24" s="17" t="s">
        <v>34</v>
      </c>
      <c r="B24" s="20" t="s">
        <v>35</v>
      </c>
      <c r="C24" s="21">
        <f>C22+C23</f>
        <v>2</v>
      </c>
    </row>
    <row r="25" spans="1:4" ht="16" x14ac:dyDescent="0.2">
      <c r="A25" s="17" t="s">
        <v>36</v>
      </c>
      <c r="B25" s="20" t="s">
        <v>52</v>
      </c>
      <c r="C25" s="21">
        <f>C22/C27</f>
        <v>5</v>
      </c>
    </row>
    <row r="26" spans="1:4" x14ac:dyDescent="0.2">
      <c r="A26" s="17" t="s">
        <v>37</v>
      </c>
      <c r="B26" s="20" t="s">
        <v>38</v>
      </c>
      <c r="C26" s="21">
        <f>C25+C14</f>
        <v>8</v>
      </c>
    </row>
    <row r="27" spans="1:4" ht="16" x14ac:dyDescent="0.2">
      <c r="A27" s="17" t="s">
        <v>53</v>
      </c>
      <c r="B27" s="24" t="s">
        <v>39</v>
      </c>
      <c r="C27" s="21">
        <f>C12</f>
        <v>0.25</v>
      </c>
    </row>
    <row r="28" spans="1:4" x14ac:dyDescent="0.2">
      <c r="A28" s="17" t="s">
        <v>40</v>
      </c>
      <c r="B28" s="20" t="s">
        <v>41</v>
      </c>
      <c r="C28" s="21">
        <f>C12/(C13*C15)</f>
        <v>0.75</v>
      </c>
    </row>
    <row r="29" spans="1:4" ht="32" x14ac:dyDescent="0.2">
      <c r="A29" s="18" t="s">
        <v>42</v>
      </c>
      <c r="B29" s="25" t="s">
        <v>43</v>
      </c>
      <c r="C29" s="50">
        <v>1</v>
      </c>
      <c r="D29" t="s">
        <v>76</v>
      </c>
    </row>
    <row r="30" spans="1:4" x14ac:dyDescent="0.2">
      <c r="A30" s="19" t="s">
        <v>44</v>
      </c>
      <c r="B30" s="26"/>
      <c r="C30" s="21">
        <f>1/3</f>
        <v>0.33333333333333331</v>
      </c>
      <c r="D30" t="s">
        <v>130</v>
      </c>
    </row>
    <row r="33" spans="1:3" x14ac:dyDescent="0.2">
      <c r="A33" s="83" t="s">
        <v>131</v>
      </c>
      <c r="B33" s="83"/>
      <c r="C33" s="83"/>
    </row>
    <row r="34" spans="1:3" x14ac:dyDescent="0.2">
      <c r="A34" s="83"/>
      <c r="B34" s="83"/>
      <c r="C34" s="83"/>
    </row>
    <row r="35" spans="1:3" x14ac:dyDescent="0.2">
      <c r="A35" s="83"/>
      <c r="B35" s="83"/>
      <c r="C35" s="83"/>
    </row>
    <row r="36" spans="1:3" x14ac:dyDescent="0.2">
      <c r="A36" s="83"/>
      <c r="B36" s="83"/>
      <c r="C36" s="83"/>
    </row>
    <row r="37" spans="1:3" x14ac:dyDescent="0.2">
      <c r="A37" s="83"/>
      <c r="B37" s="83"/>
      <c r="C37" s="83"/>
    </row>
  </sheetData>
  <mergeCells count="4">
    <mergeCell ref="A1:C4"/>
    <mergeCell ref="A11:C11"/>
    <mergeCell ref="A17:C17"/>
    <mergeCell ref="A33:C3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72B9-8546-4E01-9B08-2B7EFE61154C}">
  <dimension ref="A1:E34"/>
  <sheetViews>
    <sheetView topLeftCell="A7" zoomScale="90" zoomScaleNormal="90" workbookViewId="0">
      <selection activeCell="C28" sqref="C28"/>
    </sheetView>
  </sheetViews>
  <sheetFormatPr baseColWidth="10" defaultColWidth="8.83203125" defaultRowHeight="15" x14ac:dyDescent="0.2"/>
  <cols>
    <col min="1" max="1" width="35.33203125" customWidth="1"/>
    <col min="2" max="2" width="33.1640625" customWidth="1"/>
    <col min="3" max="3" width="18.6640625" customWidth="1"/>
  </cols>
  <sheetData>
    <row r="1" spans="1:5" x14ac:dyDescent="0.2">
      <c r="A1" s="79" t="s">
        <v>54</v>
      </c>
      <c r="B1" s="79"/>
      <c r="C1" s="79"/>
      <c r="D1" s="79"/>
      <c r="E1" s="13"/>
    </row>
    <row r="2" spans="1:5" x14ac:dyDescent="0.2">
      <c r="A2" s="79"/>
      <c r="B2" s="79"/>
      <c r="C2" s="79"/>
      <c r="D2" s="79"/>
      <c r="E2" s="13"/>
    </row>
    <row r="4" spans="1:5" x14ac:dyDescent="0.2">
      <c r="A4" s="87" t="s">
        <v>55</v>
      </c>
      <c r="B4" s="87"/>
      <c r="C4" s="87"/>
      <c r="D4" s="87"/>
    </row>
    <row r="5" spans="1:5" x14ac:dyDescent="0.2">
      <c r="A5" s="79" t="s">
        <v>68</v>
      </c>
      <c r="B5" s="79"/>
      <c r="C5" s="79"/>
      <c r="D5" s="79"/>
      <c r="E5" s="13"/>
    </row>
    <row r="6" spans="1:5" x14ac:dyDescent="0.2">
      <c r="A6" s="79"/>
      <c r="B6" s="79"/>
      <c r="C6" s="79"/>
      <c r="D6" s="79"/>
      <c r="E6" s="13"/>
    </row>
    <row r="7" spans="1:5" x14ac:dyDescent="0.2">
      <c r="A7" s="79"/>
      <c r="B7" s="79"/>
      <c r="C7" s="79"/>
      <c r="D7" s="79"/>
      <c r="E7" s="13"/>
    </row>
    <row r="9" spans="1:5" x14ac:dyDescent="0.2">
      <c r="A9" s="84" t="s">
        <v>56</v>
      </c>
      <c r="B9" s="84"/>
      <c r="C9" s="84"/>
    </row>
    <row r="10" spans="1:5" x14ac:dyDescent="0.2">
      <c r="A10" s="17" t="s">
        <v>57</v>
      </c>
      <c r="B10" s="20" t="s">
        <v>98</v>
      </c>
      <c r="C10" s="30">
        <f>0.9*0.25</f>
        <v>0.22500000000000001</v>
      </c>
    </row>
    <row r="11" spans="1:5" x14ac:dyDescent="0.2">
      <c r="A11" s="17" t="s">
        <v>18</v>
      </c>
      <c r="B11" s="20" t="s">
        <v>19</v>
      </c>
      <c r="C11" s="30">
        <v>2</v>
      </c>
    </row>
    <row r="12" spans="1:5" x14ac:dyDescent="0.2">
      <c r="A12" s="17" t="s">
        <v>20</v>
      </c>
      <c r="B12" s="20" t="s">
        <v>21</v>
      </c>
      <c r="C12" s="30">
        <v>20</v>
      </c>
    </row>
    <row r="13" spans="1:5" x14ac:dyDescent="0.2">
      <c r="A13" s="17" t="s">
        <v>58</v>
      </c>
      <c r="B13" s="20" t="s">
        <v>23</v>
      </c>
      <c r="C13" s="30">
        <f>1/C12</f>
        <v>0.05</v>
      </c>
    </row>
    <row r="15" spans="1:5" x14ac:dyDescent="0.2">
      <c r="A15" s="84" t="s">
        <v>59</v>
      </c>
      <c r="B15" s="84"/>
      <c r="C15" s="84"/>
    </row>
    <row r="16" spans="1:5" ht="70.75" customHeight="1" x14ac:dyDescent="0.2">
      <c r="A16" s="17" t="s">
        <v>25</v>
      </c>
      <c r="B16" s="20"/>
      <c r="C16" s="21">
        <f>((C11*C26)^0/FACT(0)+(C11*C26)^1/FACT(1)+(C11*C26)^2/FACT(2)+(C11*C26)^(C11+1)/(C11*FACT(C11))*(1-C26^5)/(1-C26))^(-1)</f>
        <v>9.5388414941933813E-4</v>
      </c>
    </row>
    <row r="17" spans="1:5" x14ac:dyDescent="0.2">
      <c r="A17" s="17" t="s">
        <v>27</v>
      </c>
      <c r="B17" s="20" t="s">
        <v>60</v>
      </c>
      <c r="C17" s="21">
        <f>((C11*C26)^7/(2^5*2))*C16</f>
        <v>0.55693338821582794</v>
      </c>
    </row>
    <row r="18" spans="1:5" x14ac:dyDescent="0.2">
      <c r="A18" s="17" t="s">
        <v>28</v>
      </c>
      <c r="B18" s="20" t="s">
        <v>61</v>
      </c>
      <c r="C18" s="21">
        <f>1-C17</f>
        <v>0.44306661178417206</v>
      </c>
    </row>
    <row r="19" spans="1:5" x14ac:dyDescent="0.2">
      <c r="A19" s="17" t="s">
        <v>29</v>
      </c>
      <c r="B19" s="20" t="s">
        <v>62</v>
      </c>
      <c r="C19" s="28">
        <f>C26*C18</f>
        <v>0.99689987651438716</v>
      </c>
      <c r="D19" s="85"/>
      <c r="E19" s="86"/>
    </row>
    <row r="20" spans="1:5" ht="32" x14ac:dyDescent="0.2">
      <c r="A20" s="17" t="s">
        <v>31</v>
      </c>
      <c r="B20" s="23" t="s">
        <v>63</v>
      </c>
      <c r="C20" s="21">
        <f>(((C26*2)^(2+1)*C16)/(2*2))*((1-6*C26^5+5*C26^6)/((1-C26)^2))</f>
        <v>4.2243240458101932</v>
      </c>
    </row>
    <row r="21" spans="1:5" x14ac:dyDescent="0.2">
      <c r="A21" s="17" t="s">
        <v>49</v>
      </c>
      <c r="B21" s="20" t="s">
        <v>33</v>
      </c>
      <c r="C21" s="21">
        <f>C11*C19</f>
        <v>1.9937997530287743</v>
      </c>
    </row>
    <row r="22" spans="1:5" x14ac:dyDescent="0.2">
      <c r="A22" s="17" t="s">
        <v>34</v>
      </c>
      <c r="B22" s="20" t="s">
        <v>35</v>
      </c>
      <c r="C22" s="21">
        <f>C20+C21</f>
        <v>6.2181237988389677</v>
      </c>
    </row>
    <row r="23" spans="1:5" ht="32" x14ac:dyDescent="0.2">
      <c r="A23" s="18" t="s">
        <v>36</v>
      </c>
      <c r="B23" s="20" t="s">
        <v>52</v>
      </c>
      <c r="C23" s="21">
        <f>C20/C25</f>
        <v>42.374606972370593</v>
      </c>
    </row>
    <row r="24" spans="1:5" x14ac:dyDescent="0.2">
      <c r="A24" s="17" t="s">
        <v>37</v>
      </c>
      <c r="B24" s="20" t="s">
        <v>38</v>
      </c>
      <c r="C24" s="21">
        <f>C23+C12</f>
        <v>62.374606972370593</v>
      </c>
    </row>
    <row r="25" spans="1:5" ht="16" x14ac:dyDescent="0.2">
      <c r="A25" s="27" t="s">
        <v>53</v>
      </c>
      <c r="B25" s="24" t="s">
        <v>64</v>
      </c>
      <c r="C25" s="21">
        <f>C13*C21</f>
        <v>9.9689987651438716E-2</v>
      </c>
    </row>
    <row r="26" spans="1:5" x14ac:dyDescent="0.2">
      <c r="A26" s="17" t="s">
        <v>40</v>
      </c>
      <c r="B26" s="20" t="s">
        <v>41</v>
      </c>
      <c r="C26" s="21">
        <f>C10/(C11*C13)</f>
        <v>2.25</v>
      </c>
      <c r="D26" t="s">
        <v>100</v>
      </c>
    </row>
    <row r="27" spans="1:5" ht="32" x14ac:dyDescent="0.2">
      <c r="A27" s="18" t="s">
        <v>66</v>
      </c>
      <c r="B27" s="29" t="s">
        <v>67</v>
      </c>
      <c r="C27" s="21">
        <f>C16+(C11*C26)*C16</f>
        <v>5.24636282180636E-3</v>
      </c>
    </row>
    <row r="30" spans="1:5" x14ac:dyDescent="0.2">
      <c r="A30" s="83" t="s">
        <v>125</v>
      </c>
      <c r="B30" s="83"/>
      <c r="C30" s="83"/>
    </row>
    <row r="31" spans="1:5" x14ac:dyDescent="0.2">
      <c r="A31" s="83"/>
      <c r="B31" s="83"/>
      <c r="C31" s="83"/>
    </row>
    <row r="32" spans="1:5" x14ac:dyDescent="0.2">
      <c r="A32" s="83"/>
      <c r="B32" s="83"/>
      <c r="C32" s="83"/>
    </row>
    <row r="33" spans="1:3" x14ac:dyDescent="0.2">
      <c r="A33" s="83"/>
      <c r="B33" s="83"/>
      <c r="C33" s="83"/>
    </row>
    <row r="34" spans="1:3" x14ac:dyDescent="0.2">
      <c r="A34" s="83"/>
      <c r="B34" s="83"/>
      <c r="C34" s="83"/>
    </row>
  </sheetData>
  <mergeCells count="7">
    <mergeCell ref="A30:C34"/>
    <mergeCell ref="D19:E19"/>
    <mergeCell ref="A1:D2"/>
    <mergeCell ref="A4:D4"/>
    <mergeCell ref="A5:D7"/>
    <mergeCell ref="A9:C9"/>
    <mergeCell ref="A15:C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8305-2FFA-46D1-B166-797774A95A39}">
  <dimension ref="A1:C32"/>
  <sheetViews>
    <sheetView topLeftCell="A4" zoomScale="90" zoomScaleNormal="90" workbookViewId="0">
      <selection activeCell="H29" sqref="H29"/>
    </sheetView>
  </sheetViews>
  <sheetFormatPr baseColWidth="10" defaultColWidth="8.83203125" defaultRowHeight="15" x14ac:dyDescent="0.2"/>
  <cols>
    <col min="1" max="1" width="36.6640625" customWidth="1"/>
    <col min="2" max="2" width="24" customWidth="1"/>
    <col min="3" max="3" width="28.6640625" customWidth="1"/>
  </cols>
  <sheetData>
    <row r="1" spans="1:3" x14ac:dyDescent="0.2">
      <c r="A1" s="79" t="s">
        <v>74</v>
      </c>
      <c r="B1" s="79"/>
      <c r="C1" s="79"/>
    </row>
    <row r="2" spans="1:3" x14ac:dyDescent="0.2">
      <c r="A2" s="79"/>
      <c r="B2" s="79"/>
      <c r="C2" s="79"/>
    </row>
    <row r="3" spans="1:3" x14ac:dyDescent="0.2">
      <c r="A3" s="79"/>
      <c r="B3" s="79"/>
      <c r="C3" s="79"/>
    </row>
    <row r="4" spans="1:3" x14ac:dyDescent="0.2">
      <c r="A4" s="13"/>
      <c r="B4" s="13"/>
      <c r="C4" s="13"/>
    </row>
    <row r="6" spans="1:3" x14ac:dyDescent="0.2">
      <c r="A6" s="84" t="s">
        <v>69</v>
      </c>
      <c r="B6" s="84"/>
      <c r="C6" s="84"/>
    </row>
    <row r="7" spans="1:3" x14ac:dyDescent="0.2">
      <c r="A7" s="17" t="s">
        <v>57</v>
      </c>
      <c r="B7" s="20" t="s">
        <v>70</v>
      </c>
      <c r="C7" s="30">
        <f>'Новое условие В'!C10*'Новое условие В'!C17</f>
        <v>0.12531001234856129</v>
      </c>
    </row>
    <row r="8" spans="1:3" x14ac:dyDescent="0.2">
      <c r="A8" s="17" t="s">
        <v>18</v>
      </c>
      <c r="B8" s="20" t="s">
        <v>19</v>
      </c>
      <c r="C8" s="30">
        <v>1</v>
      </c>
    </row>
    <row r="9" spans="1:3" x14ac:dyDescent="0.2">
      <c r="A9" s="17" t="s">
        <v>20</v>
      </c>
      <c r="B9" s="20" t="s">
        <v>21</v>
      </c>
      <c r="C9" s="30">
        <v>6</v>
      </c>
    </row>
    <row r="10" spans="1:3" x14ac:dyDescent="0.2">
      <c r="A10" s="17" t="s">
        <v>58</v>
      </c>
      <c r="B10" s="20" t="s">
        <v>23</v>
      </c>
      <c r="C10" s="30">
        <f>1/C9</f>
        <v>0.16666666666666666</v>
      </c>
    </row>
    <row r="12" spans="1:3" x14ac:dyDescent="0.2">
      <c r="A12" s="84" t="s">
        <v>71</v>
      </c>
      <c r="B12" s="84"/>
      <c r="C12" s="84"/>
    </row>
    <row r="13" spans="1:3" x14ac:dyDescent="0.2">
      <c r="A13" s="17" t="s">
        <v>25</v>
      </c>
      <c r="B13" s="20" t="s">
        <v>75</v>
      </c>
      <c r="C13" s="21">
        <f>1-C23</f>
        <v>0.24813992590863221</v>
      </c>
    </row>
    <row r="14" spans="1:3" x14ac:dyDescent="0.2">
      <c r="A14" s="17" t="s">
        <v>27</v>
      </c>
      <c r="B14" s="20"/>
      <c r="C14" s="21">
        <v>0</v>
      </c>
    </row>
    <row r="15" spans="1:3" x14ac:dyDescent="0.2">
      <c r="A15" s="17" t="s">
        <v>28</v>
      </c>
      <c r="B15" s="20" t="s">
        <v>61</v>
      </c>
      <c r="C15" s="21">
        <f>1-C14</f>
        <v>1</v>
      </c>
    </row>
    <row r="16" spans="1:3" x14ac:dyDescent="0.2">
      <c r="A16" s="17" t="s">
        <v>29</v>
      </c>
      <c r="B16" s="20" t="s">
        <v>30</v>
      </c>
      <c r="C16" s="28">
        <f>C23*C15</f>
        <v>0.75186007409136779</v>
      </c>
    </row>
    <row r="17" spans="1:3" ht="16" x14ac:dyDescent="0.2">
      <c r="A17" s="17" t="s">
        <v>31</v>
      </c>
      <c r="B17" s="23" t="s">
        <v>72</v>
      </c>
      <c r="C17" s="21">
        <f>(C23^2*(C24^2+C25^2))/(2*(1-C23))</f>
        <v>2.2781242032804681</v>
      </c>
    </row>
    <row r="18" spans="1:3" x14ac:dyDescent="0.2">
      <c r="A18" s="17" t="s">
        <v>49</v>
      </c>
      <c r="B18" s="20" t="s">
        <v>33</v>
      </c>
      <c r="C18" s="21">
        <f>C8*C16</f>
        <v>0.75186007409136779</v>
      </c>
    </row>
    <row r="19" spans="1:3" x14ac:dyDescent="0.2">
      <c r="A19" s="17" t="s">
        <v>34</v>
      </c>
      <c r="B19" s="20" t="s">
        <v>35</v>
      </c>
      <c r="C19" s="21">
        <f>C17+C18</f>
        <v>3.029984277371836</v>
      </c>
    </row>
    <row r="20" spans="1:3" ht="16" x14ac:dyDescent="0.2">
      <c r="A20" s="18" t="s">
        <v>36</v>
      </c>
      <c r="B20" s="20" t="s">
        <v>52</v>
      </c>
      <c r="C20" s="21">
        <f>C17/C22</f>
        <v>18.179905664231018</v>
      </c>
    </row>
    <row r="21" spans="1:3" x14ac:dyDescent="0.2">
      <c r="A21" s="17" t="s">
        <v>37</v>
      </c>
      <c r="B21" s="20" t="s">
        <v>38</v>
      </c>
      <c r="C21" s="21">
        <f>C20+C9</f>
        <v>24.179905664231018</v>
      </c>
    </row>
    <row r="22" spans="1:3" ht="16" x14ac:dyDescent="0.2">
      <c r="A22" s="27" t="s">
        <v>53</v>
      </c>
      <c r="B22" s="24" t="s">
        <v>73</v>
      </c>
      <c r="C22" s="21">
        <f>C7</f>
        <v>0.12531001234856129</v>
      </c>
    </row>
    <row r="23" spans="1:3" x14ac:dyDescent="0.2">
      <c r="A23" s="17" t="s">
        <v>40</v>
      </c>
      <c r="B23" s="20" t="s">
        <v>41</v>
      </c>
      <c r="C23" s="21">
        <f>C7/(C8*C10)</f>
        <v>0.75186007409136779</v>
      </c>
    </row>
    <row r="24" spans="1:3" ht="32" x14ac:dyDescent="0.2">
      <c r="A24" s="18" t="s">
        <v>42</v>
      </c>
      <c r="B24" s="23"/>
      <c r="C24" s="21">
        <v>1</v>
      </c>
    </row>
    <row r="25" spans="1:3" ht="16" x14ac:dyDescent="0.2">
      <c r="A25" s="31" t="s">
        <v>44</v>
      </c>
      <c r="B25" s="26"/>
      <c r="C25" s="21">
        <v>1</v>
      </c>
    </row>
    <row r="28" spans="1:3" ht="14.5" customHeight="1" x14ac:dyDescent="0.2">
      <c r="A28" s="83" t="s">
        <v>126</v>
      </c>
      <c r="B28" s="83"/>
      <c r="C28" s="83"/>
    </row>
    <row r="29" spans="1:3" x14ac:dyDescent="0.2">
      <c r="A29" s="83"/>
      <c r="B29" s="83"/>
      <c r="C29" s="83"/>
    </row>
    <row r="30" spans="1:3" x14ac:dyDescent="0.2">
      <c r="A30" s="83"/>
      <c r="B30" s="83"/>
      <c r="C30" s="83"/>
    </row>
    <row r="31" spans="1:3" x14ac:dyDescent="0.2">
      <c r="A31" s="83"/>
      <c r="B31" s="83"/>
      <c r="C31" s="83"/>
    </row>
    <row r="32" spans="1:3" x14ac:dyDescent="0.2">
      <c r="A32" s="83"/>
      <c r="B32" s="83"/>
      <c r="C32" s="83"/>
    </row>
  </sheetData>
  <mergeCells count="4">
    <mergeCell ref="A1:C3"/>
    <mergeCell ref="A6:C6"/>
    <mergeCell ref="A12:C12"/>
    <mergeCell ref="A28:C3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D846-1C85-495E-82AE-EF6BC98A9963}">
  <dimension ref="A1:J22"/>
  <sheetViews>
    <sheetView workbookViewId="0">
      <selection activeCell="E4" sqref="E4"/>
    </sheetView>
  </sheetViews>
  <sheetFormatPr baseColWidth="10" defaultColWidth="8.83203125" defaultRowHeight="15" x14ac:dyDescent="0.2"/>
  <cols>
    <col min="1" max="1" width="17.1640625" customWidth="1"/>
  </cols>
  <sheetData>
    <row r="1" spans="1:10" x14ac:dyDescent="0.2">
      <c r="A1" s="51" t="s">
        <v>93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x14ac:dyDescent="0.2">
      <c r="A2" s="51"/>
      <c r="B2" s="51"/>
      <c r="C2" s="51"/>
      <c r="D2" s="51"/>
      <c r="E2" s="51"/>
      <c r="F2" s="51"/>
      <c r="G2" s="51"/>
      <c r="H2" s="51"/>
      <c r="I2" s="51"/>
      <c r="J2" s="51"/>
    </row>
    <row r="3" spans="1:10" x14ac:dyDescent="0.2">
      <c r="A3" s="101" t="s">
        <v>77</v>
      </c>
      <c r="B3" s="102"/>
      <c r="C3" s="102"/>
      <c r="D3" s="102"/>
      <c r="E3" s="102"/>
      <c r="F3" s="102"/>
      <c r="G3" s="102"/>
      <c r="H3" s="102"/>
      <c r="I3" s="102"/>
      <c r="J3" s="103"/>
    </row>
    <row r="4" spans="1:10" x14ac:dyDescent="0.2">
      <c r="A4" s="99" t="s">
        <v>78</v>
      </c>
      <c r="B4" s="104"/>
      <c r="C4" s="104"/>
      <c r="D4" s="100"/>
      <c r="E4" s="61">
        <f>B15*B16*480+C15*C16*480+D15*D16*480</f>
        <v>5820</v>
      </c>
      <c r="F4" s="62"/>
      <c r="G4" s="62"/>
      <c r="H4" s="62"/>
      <c r="I4" s="62"/>
      <c r="J4" s="58"/>
    </row>
    <row r="5" spans="1:10" x14ac:dyDescent="0.2">
      <c r="A5" s="101" t="s">
        <v>79</v>
      </c>
      <c r="B5" s="102"/>
      <c r="C5" s="102"/>
      <c r="D5" s="102"/>
      <c r="E5" s="102"/>
      <c r="F5" s="102"/>
      <c r="G5" s="102"/>
      <c r="H5" s="102"/>
      <c r="I5" s="102"/>
      <c r="J5" s="103"/>
    </row>
    <row r="6" spans="1:10" x14ac:dyDescent="0.2">
      <c r="A6" s="99" t="s">
        <v>80</v>
      </c>
      <c r="B6" s="104"/>
      <c r="C6" s="104"/>
      <c r="D6" s="100"/>
      <c r="E6" s="61">
        <f>B15*B17*480+C15*C17*480+D15*D17*480</f>
        <v>1560</v>
      </c>
      <c r="F6" s="62"/>
      <c r="G6" s="62"/>
      <c r="H6" s="62"/>
      <c r="I6" s="62"/>
      <c r="J6" s="58"/>
    </row>
    <row r="7" spans="1:10" x14ac:dyDescent="0.2">
      <c r="A7" s="101" t="s">
        <v>81</v>
      </c>
      <c r="B7" s="102"/>
      <c r="C7" s="102"/>
      <c r="D7" s="102"/>
      <c r="E7" s="102"/>
      <c r="F7" s="102"/>
      <c r="G7" s="102"/>
      <c r="H7" s="102"/>
      <c r="I7" s="102"/>
      <c r="J7" s="103"/>
    </row>
    <row r="8" spans="1:10" x14ac:dyDescent="0.2">
      <c r="A8" s="99" t="s">
        <v>82</v>
      </c>
      <c r="B8" s="104"/>
      <c r="C8" s="104"/>
      <c r="D8" s="100"/>
      <c r="E8" s="61">
        <f>(B19*B11+(B20-B19)*B12)*B18+(C19*C11+(C20-C19)*C12)*B18+(D19*D11+(D20-D19)*D12)*B18</f>
        <v>756.02976118546189</v>
      </c>
      <c r="F8" s="62"/>
      <c r="G8" s="62"/>
      <c r="H8" s="62"/>
      <c r="I8" s="62"/>
      <c r="J8" s="58"/>
    </row>
    <row r="9" spans="1:10" x14ac:dyDescent="0.2">
      <c r="A9" s="51"/>
      <c r="B9" s="51"/>
      <c r="C9" s="51"/>
      <c r="D9" s="51"/>
      <c r="E9" s="51"/>
      <c r="F9" s="51"/>
      <c r="G9" s="51"/>
      <c r="H9" s="51"/>
      <c r="I9" s="51"/>
      <c r="J9" s="51"/>
    </row>
    <row r="10" spans="1:10" x14ac:dyDescent="0.2">
      <c r="A10" s="52"/>
      <c r="B10" s="53" t="s">
        <v>13</v>
      </c>
      <c r="C10" s="53" t="s">
        <v>83</v>
      </c>
      <c r="D10" s="53" t="s">
        <v>84</v>
      </c>
      <c r="E10" s="54"/>
      <c r="F10" s="54"/>
      <c r="G10" s="54"/>
      <c r="H10" s="54"/>
      <c r="I10" s="51"/>
      <c r="J10" s="51"/>
    </row>
    <row r="11" spans="1:10" x14ac:dyDescent="0.2">
      <c r="A11" s="55" t="s">
        <v>14</v>
      </c>
      <c r="B11" s="60">
        <v>0.4</v>
      </c>
      <c r="C11" s="60">
        <v>0.3</v>
      </c>
      <c r="D11" s="60">
        <v>0.8</v>
      </c>
      <c r="E11" s="54"/>
      <c r="F11" s="54"/>
      <c r="G11" s="54"/>
      <c r="H11" s="54"/>
      <c r="I11" s="51"/>
      <c r="J11" s="51"/>
    </row>
    <row r="12" spans="1:10" x14ac:dyDescent="0.2">
      <c r="A12" s="55" t="s">
        <v>15</v>
      </c>
      <c r="B12" s="60">
        <v>0.2</v>
      </c>
      <c r="C12" s="60">
        <v>0.1</v>
      </c>
      <c r="D12" s="60">
        <v>0.1</v>
      </c>
      <c r="E12" s="54"/>
      <c r="F12" s="54"/>
      <c r="G12" s="54"/>
      <c r="H12" s="54"/>
      <c r="I12" s="51"/>
      <c r="J12" s="51"/>
    </row>
    <row r="13" spans="1:10" x14ac:dyDescent="0.2">
      <c r="A13" s="96" t="s">
        <v>101</v>
      </c>
      <c r="B13" s="96"/>
      <c r="C13" s="96"/>
      <c r="D13" s="96"/>
      <c r="E13" s="96"/>
      <c r="F13" s="96"/>
      <c r="G13" s="96"/>
      <c r="H13" s="96"/>
      <c r="I13" s="51"/>
      <c r="J13" s="51"/>
    </row>
    <row r="14" spans="1:10" x14ac:dyDescent="0.2">
      <c r="A14" s="96"/>
      <c r="B14" s="96"/>
      <c r="C14" s="96"/>
      <c r="D14" s="96"/>
      <c r="E14" s="96"/>
      <c r="F14" s="96"/>
      <c r="G14" s="96"/>
      <c r="H14" s="96"/>
      <c r="I14" s="51"/>
      <c r="J14" s="51"/>
    </row>
    <row r="15" spans="1:10" x14ac:dyDescent="0.2">
      <c r="A15" s="56" t="s">
        <v>85</v>
      </c>
      <c r="B15" s="64">
        <f>'Новое условие А'!C27</f>
        <v>0.25</v>
      </c>
      <c r="C15" s="58">
        <f>'Новое условие В'!C25</f>
        <v>9.9689987651438716E-2</v>
      </c>
      <c r="D15" s="58">
        <f>'Новое условие С'!C22</f>
        <v>0.12531001234856129</v>
      </c>
      <c r="E15" s="51"/>
      <c r="F15" s="51"/>
      <c r="G15" s="51"/>
      <c r="H15" s="51"/>
      <c r="I15" s="51"/>
      <c r="J15" s="51"/>
    </row>
    <row r="16" spans="1:10" x14ac:dyDescent="0.2">
      <c r="A16" s="55" t="s">
        <v>86</v>
      </c>
      <c r="B16" s="36">
        <v>8</v>
      </c>
      <c r="C16" s="36">
        <v>45</v>
      </c>
      <c r="D16" s="36">
        <v>45</v>
      </c>
      <c r="E16" s="51"/>
      <c r="F16" s="51"/>
      <c r="G16" s="51"/>
      <c r="H16" s="51"/>
      <c r="I16" s="51"/>
      <c r="J16" s="51"/>
    </row>
    <row r="17" spans="1:10" x14ac:dyDescent="0.2">
      <c r="A17" s="55" t="s">
        <v>102</v>
      </c>
      <c r="B17" s="36">
        <v>4</v>
      </c>
      <c r="C17" s="36">
        <v>10</v>
      </c>
      <c r="D17" s="36">
        <v>10</v>
      </c>
      <c r="E17" s="51"/>
      <c r="F17" s="51"/>
      <c r="G17" s="51"/>
      <c r="H17" s="51"/>
      <c r="I17" s="51"/>
      <c r="J17" s="51"/>
    </row>
    <row r="18" spans="1:10" x14ac:dyDescent="0.2">
      <c r="A18" s="57" t="s">
        <v>88</v>
      </c>
      <c r="B18" s="59">
        <v>480</v>
      </c>
      <c r="C18" s="59"/>
      <c r="D18" s="59"/>
      <c r="E18" s="51"/>
      <c r="F18" s="51"/>
      <c r="G18" s="51"/>
      <c r="H18" s="51"/>
      <c r="I18" s="51"/>
      <c r="J18" s="51"/>
    </row>
    <row r="19" spans="1:10" x14ac:dyDescent="0.2">
      <c r="A19" s="57" t="s">
        <v>89</v>
      </c>
      <c r="B19" s="59">
        <f>'Новое условие А'!C21</f>
        <v>0.75</v>
      </c>
      <c r="C19" s="59">
        <f>'Новое условие В'!C21</f>
        <v>1.9937997530287743</v>
      </c>
      <c r="D19" s="59">
        <f>'Новое условие С'!C18</f>
        <v>0.75186007409136779</v>
      </c>
      <c r="E19" s="51"/>
      <c r="F19" s="51"/>
      <c r="G19" s="51"/>
      <c r="H19" s="51"/>
      <c r="I19" s="51"/>
      <c r="J19" s="51"/>
    </row>
    <row r="20" spans="1:10" x14ac:dyDescent="0.2">
      <c r="A20" s="57" t="s">
        <v>90</v>
      </c>
      <c r="B20" s="59">
        <v>1</v>
      </c>
      <c r="C20" s="59">
        <v>2</v>
      </c>
      <c r="D20" s="59">
        <v>1</v>
      </c>
      <c r="E20" s="51"/>
      <c r="F20" s="51"/>
      <c r="G20" s="51"/>
      <c r="H20" s="51"/>
      <c r="I20" s="51"/>
      <c r="J20" s="51"/>
    </row>
    <row r="21" spans="1:10" x14ac:dyDescent="0.2">
      <c r="A21" s="51"/>
      <c r="B21" s="51"/>
      <c r="C21" s="51"/>
      <c r="D21" s="51"/>
      <c r="E21" s="51"/>
      <c r="F21" s="51"/>
      <c r="G21" s="51"/>
      <c r="H21" s="51"/>
      <c r="I21" s="51"/>
      <c r="J21" s="51"/>
    </row>
    <row r="22" spans="1:10" x14ac:dyDescent="0.2">
      <c r="A22" s="97" t="s">
        <v>91</v>
      </c>
      <c r="B22" s="98"/>
      <c r="C22" s="99" t="s">
        <v>92</v>
      </c>
      <c r="D22" s="100"/>
      <c r="E22" s="63">
        <f>E4-E6-E8</f>
        <v>3503.9702388145379</v>
      </c>
      <c r="F22" s="51"/>
      <c r="G22" s="51"/>
      <c r="H22" s="51"/>
      <c r="I22" s="51"/>
      <c r="J22" s="51"/>
    </row>
  </sheetData>
  <mergeCells count="9">
    <mergeCell ref="A13:H14"/>
    <mergeCell ref="A22:B22"/>
    <mergeCell ref="C22:D22"/>
    <mergeCell ref="A3:J3"/>
    <mergeCell ref="A4:D4"/>
    <mergeCell ref="A5:J5"/>
    <mergeCell ref="A6:D6"/>
    <mergeCell ref="A7:J7"/>
    <mergeCell ref="A8:D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8ED3-F901-4021-AE8A-5A24D7E89F96}">
  <dimension ref="A1:I14"/>
  <sheetViews>
    <sheetView workbookViewId="0">
      <selection activeCell="C13" sqref="C13:E13"/>
    </sheetView>
  </sheetViews>
  <sheetFormatPr baseColWidth="10" defaultColWidth="8.83203125" defaultRowHeight="15" x14ac:dyDescent="0.2"/>
  <cols>
    <col min="1" max="1" width="17.83203125" customWidth="1"/>
    <col min="2" max="2" width="11.1640625" customWidth="1"/>
    <col min="3" max="3" width="14.1640625" customWidth="1"/>
    <col min="4" max="4" width="11" customWidth="1"/>
    <col min="5" max="5" width="12.1640625" customWidth="1"/>
    <col min="6" max="6" width="13.83203125" customWidth="1"/>
    <col min="7" max="7" width="12.33203125" customWidth="1"/>
    <col min="8" max="8" width="11.33203125" customWidth="1"/>
  </cols>
  <sheetData>
    <row r="1" spans="1:9" ht="16" thickBot="1" x14ac:dyDescent="0.25">
      <c r="A1" s="111" t="s">
        <v>103</v>
      </c>
      <c r="B1" s="112"/>
      <c r="C1" s="65" t="s">
        <v>104</v>
      </c>
      <c r="D1" s="66" t="s">
        <v>105</v>
      </c>
      <c r="E1" s="67" t="s">
        <v>106</v>
      </c>
      <c r="F1" s="66" t="s">
        <v>107</v>
      </c>
      <c r="G1" s="66" t="s">
        <v>108</v>
      </c>
      <c r="H1" s="67" t="s">
        <v>109</v>
      </c>
    </row>
    <row r="2" spans="1:9" ht="16" x14ac:dyDescent="0.2">
      <c r="A2" s="109" t="s">
        <v>110</v>
      </c>
      <c r="B2" s="110"/>
      <c r="C2" s="69">
        <f>'Станок А'!C20</f>
        <v>0.19999999999999996</v>
      </c>
      <c r="D2" s="70">
        <f>'Станки В1-В2'!C16</f>
        <v>3.6764839100828731E-3</v>
      </c>
      <c r="E2" s="71">
        <f>'Станок С'!C13</f>
        <v>0.51382350703106061</v>
      </c>
      <c r="F2" s="73">
        <f>'Новое условие А'!C18</f>
        <v>0.25</v>
      </c>
      <c r="G2" s="74">
        <f>'Новое условие В'!C16</f>
        <v>9.5388414941933813E-4</v>
      </c>
      <c r="H2" s="74">
        <f>'Новое условие С'!C13</f>
        <v>0.24813992590863221</v>
      </c>
    </row>
    <row r="3" spans="1:9" ht="16" x14ac:dyDescent="0.2">
      <c r="A3" s="105" t="s">
        <v>111</v>
      </c>
      <c r="B3" s="106"/>
      <c r="C3" s="69">
        <f>'Станок А'!C21</f>
        <v>0</v>
      </c>
      <c r="D3" s="70">
        <f>'Станки В1-В2'!C17</f>
        <v>0.4501634194156845</v>
      </c>
      <c r="E3" s="71">
        <f>'Станок С'!C14</f>
        <v>0</v>
      </c>
      <c r="F3" s="72">
        <f>'Новое условие А'!C19</f>
        <v>0</v>
      </c>
      <c r="G3" s="75">
        <f>'Новое условие В'!C17</f>
        <v>0.55693338821582794</v>
      </c>
      <c r="H3" s="68">
        <f>'Новое условие С'!C14</f>
        <v>0</v>
      </c>
    </row>
    <row r="4" spans="1:9" ht="16" x14ac:dyDescent="0.2">
      <c r="A4" s="105" t="s">
        <v>112</v>
      </c>
      <c r="B4" s="106"/>
      <c r="C4" s="69">
        <f>'Станок А'!C22</f>
        <v>1</v>
      </c>
      <c r="D4" s="70">
        <f>'Станки В1-В2'!C18</f>
        <v>0.5498365805843155</v>
      </c>
      <c r="E4" s="71">
        <f>'Станок С'!C15</f>
        <v>1</v>
      </c>
      <c r="F4" s="72">
        <f>'Новое условие А'!C20</f>
        <v>1</v>
      </c>
      <c r="G4" s="75">
        <f>'Новое условие В'!C18</f>
        <v>0.44306661178417206</v>
      </c>
      <c r="H4" s="68">
        <f>'Новое условие С'!C15</f>
        <v>1</v>
      </c>
    </row>
    <row r="5" spans="1:9" ht="16" x14ac:dyDescent="0.2">
      <c r="A5" s="105" t="s">
        <v>113</v>
      </c>
      <c r="B5" s="106"/>
      <c r="C5" s="69">
        <f>'Станок А'!C30</f>
        <v>0.8</v>
      </c>
      <c r="D5" s="70">
        <f>'Станки В1-В2'!C26</f>
        <v>1.8</v>
      </c>
      <c r="E5" s="71">
        <f>'Станок С'!C23</f>
        <v>0.48617649296893933</v>
      </c>
      <c r="F5" s="76">
        <f>'Новое условие А'!C28</f>
        <v>0.75</v>
      </c>
      <c r="G5" s="75">
        <f>'Новое условие В'!C26</f>
        <v>2.25</v>
      </c>
      <c r="H5" s="75">
        <f>'Новое условие С'!C23</f>
        <v>0.75186007409136779</v>
      </c>
    </row>
    <row r="6" spans="1:9" ht="16" x14ac:dyDescent="0.2">
      <c r="A6" s="105" t="s">
        <v>114</v>
      </c>
      <c r="B6" s="106"/>
      <c r="C6" s="69">
        <f>'Станок А'!C23</f>
        <v>0.8</v>
      </c>
      <c r="D6" s="70">
        <f>'Станки В1-В2'!C19</f>
        <v>0.98970584505176795</v>
      </c>
      <c r="E6" s="71">
        <f>'Станок С'!C16</f>
        <v>0.48617649296893933</v>
      </c>
      <c r="F6" s="76">
        <f>'Новое условие А'!C21</f>
        <v>0.75</v>
      </c>
      <c r="G6" s="75">
        <f>'Новое условие В'!C19</f>
        <v>0.99689987651438716</v>
      </c>
      <c r="H6" s="75">
        <f>'Новое условие С'!C18</f>
        <v>0.75186007409136779</v>
      </c>
    </row>
    <row r="7" spans="1:9" ht="16" x14ac:dyDescent="0.2">
      <c r="A7" s="105" t="s">
        <v>115</v>
      </c>
      <c r="B7" s="106"/>
      <c r="C7" s="69">
        <f>'Станок А'!C25</f>
        <v>0.8</v>
      </c>
      <c r="D7" s="70">
        <f>'Станки В1-В2'!C21</f>
        <v>1.9794116901035359</v>
      </c>
      <c r="E7" s="71">
        <f>'Станок С'!C18</f>
        <v>0.48617649296893933</v>
      </c>
      <c r="F7" s="76">
        <f>'Новое условие А'!C23</f>
        <v>0.75</v>
      </c>
      <c r="G7" s="75">
        <f>'Новое условие В'!C21</f>
        <v>1.9937997530287743</v>
      </c>
      <c r="H7" s="75">
        <f>'Новое условие С'!C18</f>
        <v>0.75186007409136779</v>
      </c>
    </row>
    <row r="8" spans="1:9" ht="16" x14ac:dyDescent="0.2">
      <c r="A8" s="105" t="s">
        <v>116</v>
      </c>
      <c r="B8" s="106"/>
      <c r="C8" s="69">
        <f>'Станок А'!C24</f>
        <v>0.40000000000000019</v>
      </c>
      <c r="D8" s="70">
        <f>'Станки В1-В2'!C20</f>
        <v>3.8652577705810973</v>
      </c>
      <c r="E8" s="71">
        <f>'Станок С'!C17</f>
        <v>0.46001706632952605</v>
      </c>
      <c r="F8" s="73">
        <f>'Новое условие А'!C22</f>
        <v>1.25</v>
      </c>
      <c r="G8" s="75">
        <f>'Новое условие В'!C20</f>
        <v>4.2243240458101932</v>
      </c>
      <c r="H8" s="75">
        <f>'Новое условие С'!C17</f>
        <v>2.2781242032804681</v>
      </c>
    </row>
    <row r="9" spans="1:9" ht="16" x14ac:dyDescent="0.2">
      <c r="A9" s="105" t="s">
        <v>117</v>
      </c>
      <c r="B9" s="106"/>
      <c r="C9" s="69">
        <f>'Станок А'!C26</f>
        <v>1.2000000000000002</v>
      </c>
      <c r="D9" s="70">
        <f>'Станки В1-В2'!C22</f>
        <v>5.8446694606846332</v>
      </c>
      <c r="E9" s="71">
        <f>'Станок С'!C19</f>
        <v>0.94619355929846538</v>
      </c>
      <c r="F9" s="73">
        <f>'Новое условие А'!C24</f>
        <v>2</v>
      </c>
      <c r="G9" s="75">
        <f>'Новое условие В'!C22</f>
        <v>6.2181237988389677</v>
      </c>
      <c r="H9" s="74">
        <f>'Новое условие С'!C23</f>
        <v>0.75186007409136779</v>
      </c>
    </row>
    <row r="10" spans="1:9" ht="16" x14ac:dyDescent="0.2">
      <c r="A10" s="105" t="s">
        <v>118</v>
      </c>
      <c r="B10" s="106"/>
      <c r="C10" s="69">
        <f>'Станок А'!C29</f>
        <v>0.2</v>
      </c>
      <c r="D10" s="70">
        <f>'Станки В1-В2'!C25</f>
        <v>9.8970584505176804E-2</v>
      </c>
      <c r="E10" s="71">
        <f>'Станок С'!C22</f>
        <v>8.1029415494823218E-2</v>
      </c>
      <c r="F10" s="76">
        <f>'Новое условие А'!C27</f>
        <v>0.25</v>
      </c>
      <c r="G10" s="74">
        <f>'Новое условие В'!C25</f>
        <v>9.9689987651438716E-2</v>
      </c>
      <c r="H10" s="74">
        <f>'Новое условие С'!C22</f>
        <v>0.12531001234856129</v>
      </c>
    </row>
    <row r="11" spans="1:9" ht="16" x14ac:dyDescent="0.2">
      <c r="A11" s="105" t="s">
        <v>119</v>
      </c>
      <c r="B11" s="106"/>
      <c r="C11" s="69">
        <f>'Станок А'!C27</f>
        <v>2.0000000000000009</v>
      </c>
      <c r="D11" s="70">
        <f>'Станки В1-В2'!C23</f>
        <v>39.054611932487063</v>
      </c>
      <c r="E11" s="71">
        <f>'Станок С'!C20</f>
        <v>5.6771613557907932</v>
      </c>
      <c r="F11" s="73">
        <f>'Новое условие А'!C25</f>
        <v>5</v>
      </c>
      <c r="G11" s="75">
        <f>'Новое условие В'!C23</f>
        <v>42.374606972370593</v>
      </c>
      <c r="H11" s="75">
        <f>'Новое условие С'!C20</f>
        <v>18.179905664231018</v>
      </c>
    </row>
    <row r="12" spans="1:9" ht="16" x14ac:dyDescent="0.2">
      <c r="A12" s="105" t="s">
        <v>120</v>
      </c>
      <c r="B12" s="106"/>
      <c r="C12" s="69">
        <f>'Станок А'!C28</f>
        <v>6.0000000000000009</v>
      </c>
      <c r="D12" s="70">
        <f>'Станки В1-В2'!C24</f>
        <v>59.054611932487063</v>
      </c>
      <c r="E12" s="71">
        <f>'Станок С'!C21</f>
        <v>11.677161355790794</v>
      </c>
      <c r="F12" s="73">
        <f>'Новое условие А'!C26</f>
        <v>8</v>
      </c>
      <c r="G12" s="77">
        <f>'Новое условие В'!C24</f>
        <v>62.374606972370593</v>
      </c>
      <c r="H12" s="75">
        <f>'Новое условие С'!C21</f>
        <v>24.179905664231018</v>
      </c>
    </row>
    <row r="13" spans="1:9" ht="17" thickBot="1" x14ac:dyDescent="0.25">
      <c r="A13" s="107" t="s">
        <v>121</v>
      </c>
      <c r="B13" s="108"/>
      <c r="C13" s="113">
        <f>'Станки В1-В2'!C27</f>
        <v>1.6911825986381218E-2</v>
      </c>
      <c r="D13" s="114"/>
      <c r="E13" s="115"/>
      <c r="F13" s="116">
        <f>'Новое условие В'!C27</f>
        <v>5.24636282180636E-3</v>
      </c>
      <c r="G13" s="117"/>
      <c r="H13" s="118"/>
    </row>
    <row r="14" spans="1:9" ht="17" thickBot="1" x14ac:dyDescent="0.25">
      <c r="A14" s="119" t="s">
        <v>122</v>
      </c>
      <c r="B14" s="120"/>
      <c r="C14" s="121">
        <f>Прибыль8ч!E21</f>
        <v>2824.2211761124972</v>
      </c>
      <c r="D14" s="122"/>
      <c r="E14" s="123"/>
      <c r="F14" s="124">
        <f>Новая_Прибыль!E22</f>
        <v>3503.9702388145379</v>
      </c>
      <c r="G14" s="125"/>
      <c r="H14" s="126"/>
      <c r="I14" t="s">
        <v>127</v>
      </c>
    </row>
  </sheetData>
  <mergeCells count="18">
    <mergeCell ref="C13:E13"/>
    <mergeCell ref="F13:H13"/>
    <mergeCell ref="A14:B14"/>
    <mergeCell ref="C14:E14"/>
    <mergeCell ref="F14:H14"/>
    <mergeCell ref="A1:B1"/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Титульник</vt:lpstr>
      <vt:lpstr>Лаба</vt:lpstr>
      <vt:lpstr>Станок А</vt:lpstr>
      <vt:lpstr>Станки В1-В2</vt:lpstr>
      <vt:lpstr>Станок С</vt:lpstr>
      <vt:lpstr>Прибыль8ч</vt:lpstr>
      <vt:lpstr>Новое условие А</vt:lpstr>
      <vt:lpstr>Новое условие В</vt:lpstr>
      <vt:lpstr>Новое условие С</vt:lpstr>
      <vt:lpstr>Новая_Прибыль</vt:lpstr>
      <vt:lpstr>Сравнение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Dvorakovskiy</dc:creator>
  <cp:lastModifiedBy>Артем Харкевич</cp:lastModifiedBy>
  <dcterms:created xsi:type="dcterms:W3CDTF">2025-10-14T15:38:59Z</dcterms:created>
  <dcterms:modified xsi:type="dcterms:W3CDTF">2026-01-12T16:33:55Z</dcterms:modified>
</cp:coreProperties>
</file>