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OneDrive\Документы\саиио\"/>
    </mc:Choice>
  </mc:AlternateContent>
  <xr:revisionPtr revIDLastSave="0" documentId="13_ncr:1_{3B3404E7-2E66-409E-97AA-D46E1759E4BE}" xr6:coauthVersionLast="47" xr6:coauthVersionMax="47" xr10:uidLastSave="{00000000-0000-0000-0000-000000000000}"/>
  <bookViews>
    <workbookView xWindow="-108" yWindow="-108" windowWidth="23256" windowHeight="12456" xr2:uid="{DE06ED20-229C-40AB-98DA-117970519B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C52" i="1"/>
  <c r="C51" i="1"/>
  <c r="C50" i="1"/>
  <c r="C22" i="1" l="1"/>
  <c r="C44" i="1" l="1"/>
  <c r="C45" i="1"/>
  <c r="C43" i="1"/>
  <c r="C38" i="1"/>
  <c r="C37" i="1"/>
  <c r="C36" i="1"/>
  <c r="C30" i="1"/>
  <c r="C31" i="1"/>
  <c r="C24" i="1"/>
  <c r="C23" i="1"/>
  <c r="C11" i="1"/>
  <c r="C10" i="1"/>
  <c r="C9" i="1"/>
  <c r="E4" i="1"/>
  <c r="E3" i="1"/>
  <c r="D3" i="1"/>
  <c r="D4" i="1"/>
  <c r="C4" i="1"/>
  <c r="C3" i="1"/>
  <c r="C16" i="1" l="1"/>
  <c r="E17" i="1"/>
  <c r="D17" i="1"/>
  <c r="C17" i="1"/>
  <c r="D16" i="1"/>
  <c r="E16" i="1"/>
</calcChain>
</file>

<file path=xl/sharedStrings.xml><?xml version="1.0" encoding="utf-8"?>
<sst xmlns="http://schemas.openxmlformats.org/spreadsheetml/2006/main" count="51" uniqueCount="22">
  <si>
    <t>Матрица выигрышей</t>
  </si>
  <si>
    <t>E1</t>
  </si>
  <si>
    <t>E2</t>
  </si>
  <si>
    <t>Критерий Байеса</t>
  </si>
  <si>
    <t>Матрица рисков</t>
  </si>
  <si>
    <t>(критерий минимума среднего риска)</t>
  </si>
  <si>
    <t>Критерий Лапласа</t>
  </si>
  <si>
    <t>Z1</t>
  </si>
  <si>
    <t>Z2</t>
  </si>
  <si>
    <t>Критерий Вальда</t>
  </si>
  <si>
    <t>Критерий Сэвиджа</t>
  </si>
  <si>
    <t>Критерий Гурвица</t>
  </si>
  <si>
    <t>П1</t>
  </si>
  <si>
    <t>П2</t>
  </si>
  <si>
    <t>П3</t>
  </si>
  <si>
    <t>Обычный</t>
  </si>
  <si>
    <t>Повышенный</t>
  </si>
  <si>
    <t>E3</t>
  </si>
  <si>
    <t>Z3</t>
  </si>
  <si>
    <t>Z2 и Z3</t>
  </si>
  <si>
    <t>(критерий крайнего пессимизма)</t>
  </si>
  <si>
    <t>коэф пессимизма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</si>
</sst>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0" borderId="0" xfId="0" applyBorder="1"/>
    <xf numFmtId="0" fontId="0" fillId="0" borderId="0" xfId="0" applyNumberFormat="1" applyBorder="1"/>
    <xf numFmtId="1" fontId="0" fillId="0" borderId="1" xfId="0" applyNumberFormat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7A7B-DDDD-4FC8-BC50-70F55FFF9C6F}">
  <dimension ref="B1:P52"/>
  <sheetViews>
    <sheetView tabSelected="1" topLeftCell="A31" workbookViewId="0">
      <selection activeCell="C51" sqref="C51"/>
    </sheetView>
  </sheetViews>
  <sheetFormatPr defaultRowHeight="14.4" x14ac:dyDescent="0.3"/>
  <sheetData>
    <row r="1" spans="2:16" x14ac:dyDescent="0.3">
      <c r="B1" t="s">
        <v>0</v>
      </c>
    </row>
    <row r="2" spans="2:16" x14ac:dyDescent="0.3">
      <c r="B2" s="1"/>
      <c r="C2" s="1" t="s">
        <v>12</v>
      </c>
      <c r="D2" s="1" t="s">
        <v>13</v>
      </c>
      <c r="E2" s="1" t="s">
        <v>14</v>
      </c>
      <c r="J2" s="1"/>
      <c r="K2" s="1" t="s">
        <v>12</v>
      </c>
      <c r="L2" s="1" t="s">
        <v>13</v>
      </c>
      <c r="M2" s="1" t="s">
        <v>14</v>
      </c>
    </row>
    <row r="3" spans="2:16" x14ac:dyDescent="0.3">
      <c r="B3" s="1" t="s">
        <v>15</v>
      </c>
      <c r="C3" s="5">
        <f>1.2*35</f>
        <v>42</v>
      </c>
      <c r="D3" s="5">
        <f>2.1*30</f>
        <v>63</v>
      </c>
      <c r="E3" s="5">
        <f>1.3*40</f>
        <v>52</v>
      </c>
      <c r="J3" s="1" t="s">
        <v>15</v>
      </c>
      <c r="K3" s="2">
        <v>1.2</v>
      </c>
      <c r="L3" s="2">
        <v>2.1</v>
      </c>
      <c r="M3" s="2">
        <v>1.3</v>
      </c>
    </row>
    <row r="4" spans="2:16" x14ac:dyDescent="0.3">
      <c r="B4" s="1" t="s">
        <v>16</v>
      </c>
      <c r="C4" s="5">
        <f>2*35</f>
        <v>70</v>
      </c>
      <c r="D4" s="5">
        <f>2.3*30</f>
        <v>69</v>
      </c>
      <c r="E4" s="5">
        <f>2*40</f>
        <v>80</v>
      </c>
      <c r="J4" s="1" t="s">
        <v>16</v>
      </c>
      <c r="K4" s="2">
        <v>2</v>
      </c>
      <c r="L4" s="2">
        <v>2.2999999999999998</v>
      </c>
      <c r="M4" s="2">
        <v>2</v>
      </c>
    </row>
    <row r="7" spans="2:16" x14ac:dyDescent="0.3">
      <c r="I7" s="3"/>
      <c r="J7" s="3"/>
      <c r="K7" s="3"/>
      <c r="L7" s="3"/>
      <c r="M7" s="3"/>
      <c r="N7" s="3"/>
      <c r="O7" s="3"/>
      <c r="P7" s="3"/>
    </row>
    <row r="8" spans="2:16" x14ac:dyDescent="0.3">
      <c r="B8" t="s">
        <v>3</v>
      </c>
      <c r="I8" s="3"/>
      <c r="J8" s="3"/>
      <c r="K8" s="3"/>
      <c r="L8" s="3"/>
      <c r="M8" s="3"/>
      <c r="N8" s="3"/>
      <c r="O8" s="3"/>
      <c r="P8" s="3"/>
    </row>
    <row r="9" spans="2:16" x14ac:dyDescent="0.3">
      <c r="B9" s="1" t="s">
        <v>1</v>
      </c>
      <c r="C9" s="1">
        <f>C3*0.7+C4*0.3</f>
        <v>50.4</v>
      </c>
      <c r="E9" t="s">
        <v>17</v>
      </c>
      <c r="I9" s="3"/>
      <c r="J9" s="3"/>
      <c r="K9" s="4"/>
      <c r="L9" s="4"/>
      <c r="M9" s="4"/>
      <c r="N9" s="3"/>
      <c r="O9" s="3"/>
      <c r="P9" s="3"/>
    </row>
    <row r="10" spans="2:16" x14ac:dyDescent="0.3">
      <c r="B10" s="1" t="s">
        <v>2</v>
      </c>
      <c r="C10" s="1">
        <f>D3*0.8+D4*0.2</f>
        <v>64.2</v>
      </c>
      <c r="I10" s="3"/>
      <c r="J10" s="3"/>
      <c r="K10" s="4"/>
      <c r="L10" s="4"/>
      <c r="M10" s="4"/>
      <c r="N10" s="3"/>
      <c r="O10" s="3"/>
      <c r="P10" s="3"/>
    </row>
    <row r="11" spans="2:16" x14ac:dyDescent="0.3">
      <c r="B11" s="6" t="s">
        <v>17</v>
      </c>
      <c r="C11" s="1">
        <f>E3*0.5+E4*0.5</f>
        <v>66</v>
      </c>
      <c r="I11" s="3"/>
      <c r="J11" s="3"/>
      <c r="K11" s="3"/>
      <c r="L11" s="3"/>
      <c r="M11" s="3"/>
      <c r="N11" s="3"/>
      <c r="O11" s="3"/>
      <c r="P11" s="3"/>
    </row>
    <row r="12" spans="2:16" x14ac:dyDescent="0.3">
      <c r="I12" s="3"/>
      <c r="J12" s="3"/>
      <c r="K12" s="3"/>
      <c r="L12" s="3"/>
      <c r="M12" s="3"/>
      <c r="N12" s="3"/>
      <c r="O12" s="3"/>
      <c r="P12" s="3"/>
    </row>
    <row r="13" spans="2:16" x14ac:dyDescent="0.3">
      <c r="I13" s="3"/>
      <c r="J13" s="3"/>
      <c r="K13" s="3"/>
      <c r="L13" s="3"/>
      <c r="M13" s="3"/>
      <c r="N13" s="3"/>
      <c r="O13" s="3"/>
      <c r="P13" s="3"/>
    </row>
    <row r="14" spans="2:16" x14ac:dyDescent="0.3">
      <c r="B14" t="s">
        <v>4</v>
      </c>
      <c r="I14" s="3"/>
      <c r="J14" s="3"/>
      <c r="K14" s="3"/>
      <c r="L14" s="3"/>
      <c r="M14" s="3"/>
      <c r="N14" s="3"/>
      <c r="O14" s="3"/>
      <c r="P14" s="3"/>
    </row>
    <row r="15" spans="2:16" x14ac:dyDescent="0.3">
      <c r="B15" s="1"/>
      <c r="C15" s="1" t="s">
        <v>12</v>
      </c>
      <c r="D15" s="1" t="s">
        <v>13</v>
      </c>
      <c r="E15" s="1" t="s">
        <v>14</v>
      </c>
    </row>
    <row r="16" spans="2:16" x14ac:dyDescent="0.3">
      <c r="B16" s="1" t="s">
        <v>15</v>
      </c>
      <c r="C16" s="1">
        <f>MAX(C3:E3)-C3</f>
        <v>21</v>
      </c>
      <c r="D16" s="1">
        <f>MAX(C3:E3)-D3</f>
        <v>0</v>
      </c>
      <c r="E16" s="1">
        <f>MAX(C3:E3)-E3</f>
        <v>11</v>
      </c>
    </row>
    <row r="17" spans="2:5" x14ac:dyDescent="0.3">
      <c r="B17" s="1" t="s">
        <v>16</v>
      </c>
      <c r="C17" s="1">
        <f>MAX(C$4:E$4)-C4</f>
        <v>10</v>
      </c>
      <c r="D17" s="1">
        <f>MAX(C4:E4)-D4</f>
        <v>11</v>
      </c>
      <c r="E17" s="1">
        <f>MAX(C4:E4)-E4</f>
        <v>0</v>
      </c>
    </row>
    <row r="21" spans="2:5" x14ac:dyDescent="0.3">
      <c r="B21" t="s">
        <v>3</v>
      </c>
      <c r="D21" t="s">
        <v>5</v>
      </c>
    </row>
    <row r="22" spans="2:5" x14ac:dyDescent="0.3">
      <c r="B22" s="1" t="s">
        <v>1</v>
      </c>
      <c r="C22" s="1">
        <f>0.3*C16+C17*0.7</f>
        <v>13.3</v>
      </c>
      <c r="E22" t="s">
        <v>17</v>
      </c>
    </row>
    <row r="23" spans="2:5" x14ac:dyDescent="0.3">
      <c r="B23" s="1" t="s">
        <v>2</v>
      </c>
      <c r="C23" s="1">
        <f>0.2*D16+0.8*D17</f>
        <v>8.8000000000000007</v>
      </c>
    </row>
    <row r="24" spans="2:5" x14ac:dyDescent="0.3">
      <c r="B24" s="6" t="s">
        <v>17</v>
      </c>
      <c r="C24" s="1">
        <f>0.5*E16+0.5*E17</f>
        <v>5.5</v>
      </c>
    </row>
    <row r="28" spans="2:5" x14ac:dyDescent="0.3">
      <c r="B28" t="s">
        <v>6</v>
      </c>
    </row>
    <row r="29" spans="2:5" x14ac:dyDescent="0.3">
      <c r="B29" s="1" t="s">
        <v>7</v>
      </c>
      <c r="C29" s="1">
        <f>(C3+C4)/2</f>
        <v>56</v>
      </c>
    </row>
    <row r="30" spans="2:5" x14ac:dyDescent="0.3">
      <c r="B30" s="1" t="s">
        <v>8</v>
      </c>
      <c r="C30" s="1">
        <f>(D3+D4)/2</f>
        <v>66</v>
      </c>
      <c r="E30" t="s">
        <v>19</v>
      </c>
    </row>
    <row r="31" spans="2:5" x14ac:dyDescent="0.3">
      <c r="B31" s="1" t="s">
        <v>18</v>
      </c>
      <c r="C31" s="1">
        <f>(E3+E4)/2</f>
        <v>66</v>
      </c>
    </row>
    <row r="35" spans="2:5" x14ac:dyDescent="0.3">
      <c r="B35" t="s">
        <v>9</v>
      </c>
      <c r="E35" t="s">
        <v>20</v>
      </c>
    </row>
    <row r="36" spans="2:5" x14ac:dyDescent="0.3">
      <c r="B36" s="1" t="s">
        <v>7</v>
      </c>
      <c r="C36" s="5">
        <f>MIN(C3:C4)</f>
        <v>42</v>
      </c>
    </row>
    <row r="37" spans="2:5" x14ac:dyDescent="0.3">
      <c r="B37" s="1" t="s">
        <v>8</v>
      </c>
      <c r="C37" s="5">
        <f>MIN(D3:D4)</f>
        <v>63</v>
      </c>
      <c r="E37" t="s">
        <v>8</v>
      </c>
    </row>
    <row r="38" spans="2:5" x14ac:dyDescent="0.3">
      <c r="B38" s="1" t="s">
        <v>18</v>
      </c>
      <c r="C38" s="5">
        <f>MIN(E3:E4)</f>
        <v>52</v>
      </c>
    </row>
    <row r="42" spans="2:5" x14ac:dyDescent="0.3">
      <c r="B42" t="s">
        <v>10</v>
      </c>
      <c r="E42" t="s">
        <v>20</v>
      </c>
    </row>
    <row r="43" spans="2:5" x14ac:dyDescent="0.3">
      <c r="B43" s="1" t="s">
        <v>7</v>
      </c>
      <c r="C43" s="1">
        <f>MAX(C16:C17)</f>
        <v>21</v>
      </c>
    </row>
    <row r="44" spans="2:5" x14ac:dyDescent="0.3">
      <c r="B44" s="1" t="s">
        <v>8</v>
      </c>
      <c r="C44" s="1">
        <f>MAX(D16:D17)</f>
        <v>11</v>
      </c>
      <c r="E44" t="s">
        <v>19</v>
      </c>
    </row>
    <row r="45" spans="2:5" x14ac:dyDescent="0.3">
      <c r="B45" s="1" t="s">
        <v>18</v>
      </c>
      <c r="C45" s="1">
        <f>MAX(E16:E17)</f>
        <v>11</v>
      </c>
    </row>
    <row r="49" spans="2:7" x14ac:dyDescent="0.3">
      <c r="B49" t="s">
        <v>11</v>
      </c>
    </row>
    <row r="50" spans="2:7" x14ac:dyDescent="0.3">
      <c r="B50" s="1" t="s">
        <v>7</v>
      </c>
      <c r="C50" s="1">
        <f>MIN(C3:C4)*G50+MAX(C3:C4)*(1-G50)</f>
        <v>53.2</v>
      </c>
      <c r="E50" t="s">
        <v>21</v>
      </c>
      <c r="G50">
        <v>0.6</v>
      </c>
    </row>
    <row r="51" spans="2:7" x14ac:dyDescent="0.3">
      <c r="B51" s="1" t="s">
        <v>8</v>
      </c>
      <c r="C51" s="1">
        <f>MIN(D3:D4)*G50+MAX(D3:D4)*(1-G50)</f>
        <v>65.400000000000006</v>
      </c>
      <c r="E51" t="s">
        <v>19</v>
      </c>
    </row>
    <row r="52" spans="2:7" x14ac:dyDescent="0.3">
      <c r="B52" s="1" t="s">
        <v>18</v>
      </c>
      <c r="C52" s="1">
        <f>MIN(E3:E4)*G50+MAX(E3:E4)*(1-G50)</f>
        <v>63.2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Matvey</dc:creator>
  <cp:lastModifiedBy>Артем Харкевич</cp:lastModifiedBy>
  <dcterms:created xsi:type="dcterms:W3CDTF">2025-02-28T09:01:15Z</dcterms:created>
  <dcterms:modified xsi:type="dcterms:W3CDTF">2025-03-20T13:29:03Z</dcterms:modified>
</cp:coreProperties>
</file>