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ryae/Downloads/"/>
    </mc:Choice>
  </mc:AlternateContent>
  <xr:revisionPtr revIDLastSave="0" documentId="13_ncr:1_{E1ABF3F2-AF82-DE44-A41B-F6F996253F44}" xr6:coauthVersionLast="47" xr6:coauthVersionMax="47" xr10:uidLastSave="{00000000-0000-0000-0000-000000000000}"/>
  <bookViews>
    <workbookView xWindow="8180" yWindow="2320" windowWidth="29040" windowHeight="15720" activeTab="3" xr2:uid="{3F23856F-21A2-47A8-9BB2-F3F5289BB615}"/>
  </bookViews>
  <sheets>
    <sheet name="Диаграмма1" sheetId="2" state="hidden" r:id="rId1"/>
    <sheet name="Диаграмма2" sheetId="3" state="hidden" r:id="rId2"/>
    <sheet name="Титульник" sheetId="4" r:id="rId3"/>
    <sheet name="Лаба_5вар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4" i="1" l="1"/>
  <c r="E100" i="1"/>
  <c r="E99" i="1"/>
  <c r="C76" i="1"/>
  <c r="H76" i="1" s="1"/>
  <c r="G74" i="1"/>
  <c r="C75" i="1"/>
  <c r="E84" i="1" s="1"/>
  <c r="B43" i="1"/>
  <c r="E102" i="1"/>
  <c r="E101" i="1"/>
  <c r="G75" i="1"/>
  <c r="C77" i="1"/>
  <c r="G76" i="1"/>
  <c r="G77" i="1"/>
  <c r="H77" i="1" s="1"/>
  <c r="H66" i="1"/>
  <c r="E77" i="1"/>
  <c r="E76" i="1"/>
  <c r="E75" i="1"/>
  <c r="E85" i="1" s="1"/>
  <c r="E74" i="1"/>
  <c r="H67" i="1"/>
  <c r="H65" i="1"/>
  <c r="B45" i="1"/>
  <c r="B44" i="1"/>
  <c r="G84" i="1" l="1"/>
  <c r="G85" i="1"/>
  <c r="H85" i="1" s="1"/>
  <c r="E87" i="1"/>
  <c r="G86" i="1"/>
  <c r="H86" i="1" s="1"/>
  <c r="D85" i="1"/>
  <c r="D86" i="1"/>
  <c r="E86" i="1"/>
  <c r="D87" i="1"/>
  <c r="G87" i="1"/>
  <c r="H87" i="1" s="1"/>
  <c r="D84" i="1"/>
  <c r="H75" i="1"/>
</calcChain>
</file>

<file path=xl/sharedStrings.xml><?xml version="1.0" encoding="utf-8"?>
<sst xmlns="http://schemas.openxmlformats.org/spreadsheetml/2006/main" count="152" uniqueCount="104">
  <si>
    <t>Виды сырья</t>
  </si>
  <si>
    <t>Запас, т</t>
  </si>
  <si>
    <t>Расход сырья на одну тонну бензина</t>
  </si>
  <si>
    <t>Авиационный</t>
  </si>
  <si>
    <t>Автомобильный</t>
  </si>
  <si>
    <t>H1</t>
  </si>
  <si>
    <t>H2</t>
  </si>
  <si>
    <t>H3</t>
  </si>
  <si>
    <t>Прибыль, ден.ед.</t>
  </si>
  <si>
    <t>Авиационный - Х1</t>
  </si>
  <si>
    <t>Автомобильный - Х2</t>
  </si>
  <si>
    <r>
      <t>2Х1+1,5Х2</t>
    </r>
    <r>
      <rPr>
        <sz val="11"/>
        <color theme="1"/>
        <rFont val="Calibri"/>
        <family val="2"/>
        <charset val="204"/>
      </rPr>
      <t>≤ 800</t>
    </r>
  </si>
  <si>
    <t>4Х1+2Х2≤1200</t>
  </si>
  <si>
    <t>3Х1+Х2≤1000</t>
  </si>
  <si>
    <r>
      <t xml:space="preserve">Х1,2 </t>
    </r>
    <r>
      <rPr>
        <sz val="11"/>
        <color theme="1"/>
        <rFont val="Calibri"/>
        <family val="2"/>
        <charset val="204"/>
      </rPr>
      <t>≥0</t>
    </r>
  </si>
  <si>
    <t>Е= 8Х1+5Х2 -&gt; МАХ</t>
  </si>
  <si>
    <t>Х3=0</t>
  </si>
  <si>
    <t>E(A)</t>
  </si>
  <si>
    <t>E(B)</t>
  </si>
  <si>
    <t>E(C)</t>
  </si>
  <si>
    <t>Стандартизация</t>
  </si>
  <si>
    <t>E=8X1+5X2-&gt;MAX</t>
  </si>
  <si>
    <r>
      <t>2Х1+1,5Х2+X3</t>
    </r>
    <r>
      <rPr>
        <sz val="11"/>
        <color theme="1"/>
        <rFont val="Calibri"/>
        <family val="2"/>
        <charset val="204"/>
      </rPr>
      <t>=800</t>
    </r>
  </si>
  <si>
    <t>4Х1+2Х2+X4=1200</t>
  </si>
  <si>
    <t>3Х1+Х2+X5=1000</t>
  </si>
  <si>
    <t>X1-X5≥0</t>
  </si>
  <si>
    <t>X1, X2 равны нулю</t>
  </si>
  <si>
    <t>Х3</t>
  </si>
  <si>
    <t>Х4</t>
  </si>
  <si>
    <t>Х5</t>
  </si>
  <si>
    <t>мат.модель</t>
  </si>
  <si>
    <t>целевая ф</t>
  </si>
  <si>
    <t>Симплекс-метод</t>
  </si>
  <si>
    <t>Симплекс-таблица №1</t>
  </si>
  <si>
    <t>Е</t>
  </si>
  <si>
    <t>Х1</t>
  </si>
  <si>
    <t>Х2</t>
  </si>
  <si>
    <t>Решение</t>
  </si>
  <si>
    <t>х1-авиационный бензин</t>
  </si>
  <si>
    <t>х2 - автомобильный</t>
  </si>
  <si>
    <t>Х1 - ВЕДУЩИЙ СТОЛБЕЦ</t>
  </si>
  <si>
    <t>увеличение выпуска авиационного бензина</t>
  </si>
  <si>
    <t>Симпл.-отн</t>
  </si>
  <si>
    <t>-</t>
  </si>
  <si>
    <t>Х4 ИСКЛЮЧАЕТСЯ ИЗ БАЗИСА, ТК МИНИМАЛЬНОЕ СИМПЛЕКС-ОТНОШЕНИЕ(СТАНОВИТСЯ =0)</t>
  </si>
  <si>
    <t>Базис |</t>
  </si>
  <si>
    <t xml:space="preserve"> СЫРЬЯ H2 ХВАТИТ НА 300 Т АВИАЦИОННОГО БЕНЗИНА</t>
  </si>
  <si>
    <t>Симплекс-таблица №2</t>
  </si>
  <si>
    <t>пересчитываемый элемент</t>
  </si>
  <si>
    <t>Х2 ВКЛЮЧАЕТСЯ В БАЗИС(ВЕДУЩИЙ СТОЛБЕЦ)( Т.К В СТРОКЕ Е ОТРИЦАТЕЛЬНЫЙ ЭЛЕМЕНТ ТОЛЬКО В ЭТОМ СТОЛБЦЕ)</t>
  </si>
  <si>
    <t>Симплекс-таблица №3</t>
  </si>
  <si>
    <t>Х3 ИСКЛЮЧАЕТСЯ ИЗ БАЗИСА(ВЕДУЩАЯ СТРОКА)(ТК МИНИМАЛЬНОЕ ЗНАЧЕНИЕ)</t>
  </si>
  <si>
    <t>Х1=100</t>
  </si>
  <si>
    <t>Х2=400</t>
  </si>
  <si>
    <t>Х4=0</t>
  </si>
  <si>
    <t>Х5=300</t>
  </si>
  <si>
    <t>Е=2800</t>
  </si>
  <si>
    <t xml:space="preserve">Табличный процессор Excel </t>
  </si>
  <si>
    <t>Целевая ф.</t>
  </si>
  <si>
    <t>Ограничения</t>
  </si>
  <si>
    <t>Коэфф</t>
  </si>
  <si>
    <t>Н1</t>
  </si>
  <si>
    <t>Н2</t>
  </si>
  <si>
    <t>Н3</t>
  </si>
  <si>
    <t>max</t>
  </si>
  <si>
    <t>&lt;=</t>
  </si>
  <si>
    <t>Анализ на чувствительность</t>
  </si>
  <si>
    <t>Х1=100+0,75d</t>
  </si>
  <si>
    <t>Х2=400-d</t>
  </si>
  <si>
    <t>Х5=300-1,25d</t>
  </si>
  <si>
    <t>E=2800+d</t>
  </si>
  <si>
    <r>
      <t>d</t>
    </r>
    <r>
      <rPr>
        <sz val="11"/>
        <color theme="1"/>
        <rFont val="Calibri"/>
        <family val="2"/>
        <charset val="204"/>
      </rPr>
      <t>ϵ[-400/3;240]</t>
    </r>
  </si>
  <si>
    <t>F3=2+2d</t>
  </si>
  <si>
    <t>F4=1-d</t>
  </si>
  <si>
    <t>значения из Х2</t>
  </si>
  <si>
    <t>Е=2800+400d</t>
  </si>
  <si>
    <t>dϵ[-1;1]</t>
  </si>
  <si>
    <r>
      <t>2Х1+1,5Х2=</t>
    </r>
    <r>
      <rPr>
        <sz val="11"/>
        <color theme="1"/>
        <rFont val="Calibri"/>
        <family val="2"/>
        <charset val="204"/>
      </rPr>
      <t xml:space="preserve"> 800</t>
    </r>
  </si>
  <si>
    <t>4Х1+2Х2=1200</t>
  </si>
  <si>
    <t>3Х1+Х2=1000</t>
  </si>
  <si>
    <t>вывод: прибыль оптимальна при этих значениях</t>
  </si>
  <si>
    <t>не рассматриваем, тк отрицательное значение симплекс-отношения</t>
  </si>
  <si>
    <t>максимальная прибыль</t>
  </si>
  <si>
    <t>(100, 400)</t>
  </si>
  <si>
    <t>X3, X4, X5 -  базисные(сырье)</t>
  </si>
  <si>
    <t>Вывод: получены положительные значения в строке с целевой функцией, значения х1 и х2(авиционного и автомобильного б.) совпали с графическим методом</t>
  </si>
  <si>
    <t>значения х4</t>
  </si>
  <si>
    <t>диапазон для запаса сырья Н3(х5)</t>
  </si>
  <si>
    <t>Министерство образования Республики Беларусь</t>
  </si>
  <si>
    <t>Учреждение образования</t>
  </si>
  <si>
    <t>«Белорусский государственный университет информатики и радиоэлектроники»</t>
  </si>
  <si>
    <t>Факультет информационных технологий и управления</t>
  </si>
  <si>
    <t>Кафедра информационных технологий автоматизированных систем</t>
  </si>
  <si>
    <t>Проверил:</t>
  </si>
  <si>
    <t>Выполнил:</t>
  </si>
  <si>
    <r>
      <t xml:space="preserve">Лабораторная работа </t>
    </r>
    <r>
      <rPr>
        <sz val="14"/>
        <color theme="1"/>
        <rFont val="Times New Roman"/>
        <family val="1"/>
        <charset val="204"/>
      </rPr>
      <t>№ 1</t>
    </r>
  </si>
  <si>
    <t>ПОСТАНОВКА ЗАДАЧИ 
И ЕЕ РЕШЕНИЕ СИМПЛЕКС-МЕТОДОМ</t>
  </si>
  <si>
    <t xml:space="preserve">О РАСПРЕДЕЛЕНИИ РЕСУРСОВ </t>
  </si>
  <si>
    <t>Протченко Е.В.</t>
  </si>
  <si>
    <t>Минск 2025</t>
  </si>
  <si>
    <r>
      <rPr>
        <sz val="11"/>
        <rFont val="Calibri"/>
        <family val="2"/>
        <charset val="204"/>
      </rPr>
      <t>866,7≤</t>
    </r>
    <r>
      <rPr>
        <sz val="11"/>
        <rFont val="Calibri"/>
        <family val="2"/>
        <charset val="204"/>
        <scheme val="minor"/>
      </rPr>
      <t>d</t>
    </r>
    <r>
      <rPr>
        <sz val="11"/>
        <rFont val="Calibri"/>
        <family val="2"/>
        <charset val="204"/>
      </rPr>
      <t>≤1390</t>
    </r>
  </si>
  <si>
    <t>4≤d≤6</t>
  </si>
  <si>
    <t>ст. гр. 320xxx</t>
  </si>
  <si>
    <t>ВАРИАНТ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</si>
</sst>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8" borderId="0" xfId="0" applyFill="1"/>
    <xf numFmtId="0" fontId="0" fillId="6" borderId="0" xfId="0" applyFill="1"/>
    <xf numFmtId="0" fontId="0" fillId="9" borderId="1" xfId="0" applyFill="1" applyBorder="1"/>
    <xf numFmtId="0" fontId="0" fillId="9" borderId="0" xfId="0" applyFill="1"/>
    <xf numFmtId="0" fontId="0" fillId="7" borderId="0" xfId="0" applyFill="1"/>
    <xf numFmtId="0" fontId="0" fillId="5" borderId="1" xfId="0" applyFill="1" applyBorder="1"/>
    <xf numFmtId="0" fontId="0" fillId="0" borderId="2" xfId="0" applyBorder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10" borderId="0" xfId="0" applyFill="1"/>
    <xf numFmtId="0" fontId="8" fillId="5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377807"/>
        <c:axId val="1374372047"/>
      </c:barChart>
      <c:catAx>
        <c:axId val="1374377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74372047"/>
        <c:crosses val="autoZero"/>
        <c:auto val="1"/>
        <c:lblAlgn val="ctr"/>
        <c:lblOffset val="100"/>
        <c:noMultiLvlLbl val="0"/>
      </c:catAx>
      <c:valAx>
        <c:axId val="13743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7437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Лаба_5вар!$D$15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Лаба_5вар!$E$15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B30C-4319-B3C3-7896618F1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077119"/>
        <c:axId val="866077599"/>
      </c:barChart>
      <c:catAx>
        <c:axId val="866077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66077599"/>
        <c:crosses val="autoZero"/>
        <c:auto val="1"/>
        <c:lblAlgn val="ctr"/>
        <c:lblOffset val="100"/>
        <c:noMultiLvlLbl val="0"/>
      </c:catAx>
      <c:valAx>
        <c:axId val="8660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6607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0A0B8E-A2B9-4956-9BBF-D2BD4015C459}">
  <sheetPr/>
  <sheetViews>
    <sheetView zoomScale="8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89D73A-C738-4784-B8F3-F170C02D3B7D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1C4407-B14B-D616-C9C1-D9069BCC8EB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B54DB1-41A7-3135-ECC7-0DC19EE3E7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18</xdr:row>
      <xdr:rowOff>30480</xdr:rowOff>
    </xdr:from>
    <xdr:to>
      <xdr:col>7</xdr:col>
      <xdr:colOff>576348</xdr:colOff>
      <xdr:row>41</xdr:row>
      <xdr:rowOff>83820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7C5C7731-991F-4375-AB05-C8ED4AA2D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3406140"/>
          <a:ext cx="4884419" cy="4259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C202-27CA-4E77-8FD6-C71E2D26DB87}">
  <dimension ref="A1:K36"/>
  <sheetViews>
    <sheetView topLeftCell="A11" zoomScaleNormal="100" workbookViewId="0">
      <selection activeCell="I30" sqref="I30"/>
    </sheetView>
  </sheetViews>
  <sheetFormatPr baseColWidth="10" defaultColWidth="8.83203125" defaultRowHeight="15" x14ac:dyDescent="0.2"/>
  <cols>
    <col min="1" max="1" width="9.6640625" customWidth="1"/>
  </cols>
  <sheetData>
    <row r="1" spans="1:7" ht="18" customHeight="1" x14ac:dyDescent="0.2">
      <c r="F1" s="20" t="s">
        <v>88</v>
      </c>
      <c r="G1" s="20"/>
    </row>
    <row r="2" spans="1:7" ht="18" customHeight="1" x14ac:dyDescent="0.2">
      <c r="F2" s="20" t="s">
        <v>89</v>
      </c>
      <c r="G2" s="20"/>
    </row>
    <row r="3" spans="1:7" ht="18" customHeight="1" x14ac:dyDescent="0.2">
      <c r="F3" s="20" t="s">
        <v>90</v>
      </c>
      <c r="G3" s="20"/>
    </row>
    <row r="4" spans="1:7" ht="18" customHeight="1" x14ac:dyDescent="0.2">
      <c r="G4" s="20"/>
    </row>
    <row r="5" spans="1:7" ht="18" customHeight="1" x14ac:dyDescent="0.2">
      <c r="F5" s="20" t="s">
        <v>91</v>
      </c>
      <c r="G5" s="20"/>
    </row>
    <row r="6" spans="1:7" ht="18" customHeight="1" x14ac:dyDescent="0.2">
      <c r="C6" s="21" t="s">
        <v>92</v>
      </c>
      <c r="G6" s="20"/>
    </row>
    <row r="7" spans="1:7" ht="18" customHeight="1" x14ac:dyDescent="0.2">
      <c r="A7" s="20"/>
      <c r="C7" s="20"/>
    </row>
    <row r="8" spans="1:7" ht="18" customHeight="1" x14ac:dyDescent="0.2">
      <c r="A8" s="20"/>
    </row>
    <row r="9" spans="1:7" ht="18" customHeight="1" x14ac:dyDescent="0.2">
      <c r="A9" s="20"/>
      <c r="C9" s="22"/>
    </row>
    <row r="10" spans="1:7" ht="18" customHeight="1" x14ac:dyDescent="0.2">
      <c r="A10" s="20"/>
      <c r="C10" s="22"/>
    </row>
    <row r="11" spans="1:7" ht="18" customHeight="1" x14ac:dyDescent="0.2">
      <c r="A11" s="20"/>
      <c r="C11" s="22"/>
    </row>
    <row r="12" spans="1:7" ht="18" customHeight="1" x14ac:dyDescent="0.2">
      <c r="A12" s="20"/>
      <c r="C12" s="22"/>
    </row>
    <row r="13" spans="1:7" ht="18" customHeight="1" x14ac:dyDescent="0.2">
      <c r="C13" s="23"/>
      <c r="D13" s="20"/>
    </row>
    <row r="14" spans="1:7" ht="18" customHeight="1" x14ac:dyDescent="0.2">
      <c r="D14" s="20"/>
      <c r="F14" s="22" t="s">
        <v>95</v>
      </c>
    </row>
    <row r="15" spans="1:7" ht="18" customHeight="1" x14ac:dyDescent="0.2">
      <c r="C15" s="22"/>
      <c r="D15" s="20"/>
    </row>
    <row r="16" spans="1:7" ht="18" customHeight="1" x14ac:dyDescent="0.2">
      <c r="A16" s="20"/>
      <c r="F16" s="24" t="s">
        <v>96</v>
      </c>
    </row>
    <row r="17" spans="1:11" ht="18" customHeight="1" x14ac:dyDescent="0.2">
      <c r="A17" s="20"/>
      <c r="C17" s="23"/>
      <c r="D17" s="25" t="s">
        <v>97</v>
      </c>
    </row>
    <row r="18" spans="1:11" ht="18" customHeight="1" x14ac:dyDescent="0.2">
      <c r="A18" s="27"/>
      <c r="C18" s="23"/>
      <c r="E18" s="25"/>
    </row>
    <row r="19" spans="1:11" ht="18" customHeight="1" x14ac:dyDescent="0.2">
      <c r="A19" s="27"/>
      <c r="C19" s="23"/>
    </row>
    <row r="20" spans="1:11" ht="18" customHeight="1" x14ac:dyDescent="0.2">
      <c r="A20" s="27"/>
      <c r="C20" s="23"/>
    </row>
    <row r="21" spans="1:11" ht="18" customHeight="1" x14ac:dyDescent="0.2">
      <c r="A21" s="27"/>
      <c r="C21" s="23"/>
    </row>
    <row r="22" spans="1:11" ht="18" customHeight="1" x14ac:dyDescent="0.2">
      <c r="A22" s="26"/>
      <c r="C22" s="23"/>
    </row>
    <row r="23" spans="1:11" ht="18" customHeight="1" x14ac:dyDescent="0.2">
      <c r="A23" s="26"/>
      <c r="C23" s="23"/>
    </row>
    <row r="24" spans="1:11" ht="18" customHeight="1" x14ac:dyDescent="0.2">
      <c r="C24" s="23"/>
      <c r="K24" s="26"/>
    </row>
    <row r="25" spans="1:11" ht="18" customHeight="1" x14ac:dyDescent="0.2">
      <c r="A25" s="27"/>
      <c r="C25" s="23"/>
    </row>
    <row r="26" spans="1:11" ht="18" customHeight="1" x14ac:dyDescent="0.2">
      <c r="A26" s="27"/>
      <c r="B26" s="23" t="s">
        <v>93</v>
      </c>
      <c r="I26" s="23" t="s">
        <v>94</v>
      </c>
    </row>
    <row r="27" spans="1:11" ht="18" customHeight="1" x14ac:dyDescent="0.2">
      <c r="A27" s="27"/>
      <c r="B27" s="23" t="s">
        <v>98</v>
      </c>
      <c r="I27" s="23" t="s">
        <v>102</v>
      </c>
    </row>
    <row r="28" spans="1:11" ht="18" customHeight="1" x14ac:dyDescent="0.2">
      <c r="A28" s="27"/>
      <c r="C28" s="23"/>
      <c r="I28" s="23"/>
    </row>
    <row r="29" spans="1:11" ht="18" customHeight="1" x14ac:dyDescent="0.2">
      <c r="A29" s="27"/>
    </row>
    <row r="30" spans="1:11" ht="18" customHeight="1" x14ac:dyDescent="0.2">
      <c r="A30" s="28"/>
    </row>
    <row r="31" spans="1:11" ht="18" customHeight="1" x14ac:dyDescent="0.2">
      <c r="A31" s="28"/>
    </row>
    <row r="32" spans="1:11" ht="18" customHeight="1" x14ac:dyDescent="0.2">
      <c r="A32" s="20"/>
      <c r="C32" s="23"/>
    </row>
    <row r="33" spans="3:6" ht="18" customHeight="1" x14ac:dyDescent="0.2">
      <c r="C33" s="23"/>
    </row>
    <row r="34" spans="3:6" ht="18" customHeight="1" x14ac:dyDescent="0.2">
      <c r="C34" s="23"/>
    </row>
    <row r="35" spans="3:6" ht="18" customHeight="1" x14ac:dyDescent="0.2">
      <c r="C35" s="23"/>
    </row>
    <row r="36" spans="3:6" ht="18" customHeight="1" x14ac:dyDescent="0.2">
      <c r="F36" s="22" t="s">
        <v>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5164-C40A-43B0-B9E0-47CAE0C10097}">
  <dimension ref="A1:L119"/>
  <sheetViews>
    <sheetView tabSelected="1" topLeftCell="A95" zoomScale="88" workbookViewId="0">
      <selection activeCell="N128" sqref="N128"/>
    </sheetView>
  </sheetViews>
  <sheetFormatPr baseColWidth="10" defaultColWidth="8.83203125" defaultRowHeight="15" x14ac:dyDescent="0.2"/>
  <cols>
    <col min="1" max="1" width="17.6640625" customWidth="1"/>
    <col min="3" max="3" width="22.33203125" customWidth="1"/>
    <col min="8" max="8" width="10.6640625" customWidth="1"/>
  </cols>
  <sheetData>
    <row r="1" spans="1:6" ht="21" x14ac:dyDescent="0.25">
      <c r="A1" s="1" t="s">
        <v>103</v>
      </c>
    </row>
    <row r="3" spans="1:6" x14ac:dyDescent="0.2">
      <c r="A3" s="32" t="s">
        <v>0</v>
      </c>
      <c r="B3" s="33" t="s">
        <v>1</v>
      </c>
      <c r="C3" s="31" t="s">
        <v>2</v>
      </c>
      <c r="D3" s="31"/>
      <c r="E3" s="31"/>
      <c r="F3" s="31"/>
    </row>
    <row r="4" spans="1:6" x14ac:dyDescent="0.2">
      <c r="A4" s="32"/>
      <c r="B4" s="33"/>
      <c r="C4" s="31" t="s">
        <v>3</v>
      </c>
      <c r="D4" s="31"/>
      <c r="E4" s="31" t="s">
        <v>4</v>
      </c>
      <c r="F4" s="31"/>
    </row>
    <row r="5" spans="1:6" x14ac:dyDescent="0.2">
      <c r="A5" s="2" t="s">
        <v>5</v>
      </c>
      <c r="B5" s="2">
        <v>800</v>
      </c>
      <c r="C5" s="31">
        <v>2</v>
      </c>
      <c r="D5" s="31"/>
      <c r="E5" s="31">
        <v>1.5</v>
      </c>
      <c r="F5" s="31"/>
    </row>
    <row r="6" spans="1:6" x14ac:dyDescent="0.2">
      <c r="A6" s="2" t="s">
        <v>6</v>
      </c>
      <c r="B6" s="2">
        <v>1200</v>
      </c>
      <c r="C6" s="31">
        <v>4</v>
      </c>
      <c r="D6" s="31"/>
      <c r="E6" s="31">
        <v>2</v>
      </c>
      <c r="F6" s="31"/>
    </row>
    <row r="7" spans="1:6" x14ac:dyDescent="0.2">
      <c r="A7" s="2" t="s">
        <v>7</v>
      </c>
      <c r="B7" s="2">
        <v>1000</v>
      </c>
      <c r="C7" s="31">
        <v>3</v>
      </c>
      <c r="D7" s="31"/>
      <c r="E7" s="31">
        <v>1</v>
      </c>
      <c r="F7" s="31"/>
    </row>
    <row r="8" spans="1:6" x14ac:dyDescent="0.2">
      <c r="A8" s="3" t="s">
        <v>8</v>
      </c>
      <c r="B8" s="3"/>
      <c r="C8" s="31">
        <v>8</v>
      </c>
      <c r="D8" s="31"/>
      <c r="E8" s="31">
        <v>5</v>
      </c>
      <c r="F8" s="31"/>
    </row>
    <row r="10" spans="1:6" x14ac:dyDescent="0.2">
      <c r="A10" s="4" t="s">
        <v>9</v>
      </c>
    </row>
    <row r="11" spans="1:6" x14ac:dyDescent="0.2">
      <c r="A11" s="4" t="s">
        <v>10</v>
      </c>
    </row>
    <row r="13" spans="1:6" x14ac:dyDescent="0.2">
      <c r="A13" s="17" t="s">
        <v>5</v>
      </c>
      <c r="B13" t="s">
        <v>11</v>
      </c>
      <c r="D13" t="s">
        <v>30</v>
      </c>
    </row>
    <row r="14" spans="1:6" x14ac:dyDescent="0.2">
      <c r="A14" s="17" t="s">
        <v>6</v>
      </c>
      <c r="B14" t="s">
        <v>12</v>
      </c>
    </row>
    <row r="15" spans="1:6" x14ac:dyDescent="0.2">
      <c r="A15" s="17" t="s">
        <v>7</v>
      </c>
      <c r="B15" t="s">
        <v>13</v>
      </c>
    </row>
    <row r="16" spans="1:6" x14ac:dyDescent="0.2">
      <c r="B16" t="s">
        <v>14</v>
      </c>
    </row>
    <row r="17" spans="2:12" x14ac:dyDescent="0.2">
      <c r="B17" t="s">
        <v>15</v>
      </c>
      <c r="D17" t="s">
        <v>31</v>
      </c>
    </row>
    <row r="19" spans="2:12" x14ac:dyDescent="0.2">
      <c r="K19" s="6" t="s">
        <v>5</v>
      </c>
      <c r="L19" t="s">
        <v>77</v>
      </c>
    </row>
    <row r="20" spans="2:12" x14ac:dyDescent="0.2">
      <c r="K20" s="7" t="s">
        <v>6</v>
      </c>
      <c r="L20" t="s">
        <v>78</v>
      </c>
    </row>
    <row r="21" spans="2:12" x14ac:dyDescent="0.2">
      <c r="K21" s="8" t="s">
        <v>7</v>
      </c>
      <c r="L21" t="s">
        <v>79</v>
      </c>
    </row>
    <row r="43" spans="1:4" x14ac:dyDescent="0.2">
      <c r="A43" t="s">
        <v>17</v>
      </c>
      <c r="B43">
        <f>8*0+533.33333*5</f>
        <v>2666.6666500000001</v>
      </c>
    </row>
    <row r="44" spans="1:4" x14ac:dyDescent="0.2">
      <c r="A44" t="s">
        <v>18</v>
      </c>
      <c r="B44" s="5">
        <f>8*100+400*5</f>
        <v>2800</v>
      </c>
      <c r="C44" t="s">
        <v>82</v>
      </c>
      <c r="D44" s="5" t="s">
        <v>83</v>
      </c>
    </row>
    <row r="45" spans="1:4" x14ac:dyDescent="0.2">
      <c r="A45" t="s">
        <v>19</v>
      </c>
      <c r="B45">
        <f>8*300+0*5</f>
        <v>2400</v>
      </c>
    </row>
    <row r="47" spans="1:4" x14ac:dyDescent="0.2">
      <c r="A47" t="s">
        <v>20</v>
      </c>
    </row>
    <row r="49" spans="1:9" x14ac:dyDescent="0.2">
      <c r="A49" t="s">
        <v>21</v>
      </c>
    </row>
    <row r="50" spans="1:9" x14ac:dyDescent="0.2">
      <c r="A50" t="s">
        <v>5</v>
      </c>
      <c r="B50" t="s">
        <v>22</v>
      </c>
    </row>
    <row r="51" spans="1:9" x14ac:dyDescent="0.2">
      <c r="A51" t="s">
        <v>6</v>
      </c>
      <c r="B51" t="s">
        <v>23</v>
      </c>
    </row>
    <row r="52" spans="1:9" x14ac:dyDescent="0.2">
      <c r="A52" t="s">
        <v>7</v>
      </c>
      <c r="B52" t="s">
        <v>24</v>
      </c>
    </row>
    <row r="53" spans="1:9" x14ac:dyDescent="0.2">
      <c r="B53" t="s">
        <v>25</v>
      </c>
    </row>
    <row r="54" spans="1:9" x14ac:dyDescent="0.2">
      <c r="A54" t="s">
        <v>26</v>
      </c>
    </row>
    <row r="55" spans="1:9" x14ac:dyDescent="0.2">
      <c r="A55" t="s">
        <v>84</v>
      </c>
    </row>
    <row r="56" spans="1:9" x14ac:dyDescent="0.2">
      <c r="A56" t="s">
        <v>27</v>
      </c>
      <c r="B56">
        <v>800</v>
      </c>
    </row>
    <row r="57" spans="1:9" x14ac:dyDescent="0.2">
      <c r="A57" t="s">
        <v>28</v>
      </c>
      <c r="B57">
        <v>1200</v>
      </c>
    </row>
    <row r="58" spans="1:9" x14ac:dyDescent="0.2">
      <c r="A58" t="s">
        <v>29</v>
      </c>
      <c r="B58">
        <v>1000</v>
      </c>
    </row>
    <row r="60" spans="1:9" x14ac:dyDescent="0.2">
      <c r="A60" t="s">
        <v>32</v>
      </c>
    </row>
    <row r="62" spans="1:9" x14ac:dyDescent="0.2">
      <c r="B62" t="s">
        <v>33</v>
      </c>
    </row>
    <row r="63" spans="1:9" x14ac:dyDescent="0.2">
      <c r="A63" s="3" t="s">
        <v>45</v>
      </c>
      <c r="B63" s="3" t="s">
        <v>35</v>
      </c>
      <c r="C63" s="3" t="s">
        <v>36</v>
      </c>
      <c r="D63" s="3" t="s">
        <v>27</v>
      </c>
      <c r="E63" s="3" t="s">
        <v>28</v>
      </c>
      <c r="F63" s="3" t="s">
        <v>29</v>
      </c>
      <c r="G63" s="3" t="s">
        <v>37</v>
      </c>
      <c r="H63" s="3" t="s">
        <v>42</v>
      </c>
      <c r="I63" t="s">
        <v>38</v>
      </c>
    </row>
    <row r="64" spans="1:9" x14ac:dyDescent="0.2">
      <c r="A64" s="3" t="s">
        <v>34</v>
      </c>
      <c r="B64" s="9">
        <v>-8</v>
      </c>
      <c r="C64" s="3">
        <v>-5</v>
      </c>
      <c r="D64" s="3">
        <v>0</v>
      </c>
      <c r="E64" s="3">
        <v>0</v>
      </c>
      <c r="F64" s="3">
        <v>0</v>
      </c>
      <c r="G64" s="3">
        <v>0</v>
      </c>
      <c r="H64" s="3" t="s">
        <v>43</v>
      </c>
      <c r="I64" t="s">
        <v>39</v>
      </c>
    </row>
    <row r="65" spans="1:9" x14ac:dyDescent="0.2">
      <c r="A65" s="3" t="s">
        <v>27</v>
      </c>
      <c r="B65" s="3">
        <v>2</v>
      </c>
      <c r="C65" s="3">
        <v>1.5</v>
      </c>
      <c r="D65" s="3">
        <v>1</v>
      </c>
      <c r="E65" s="3">
        <v>0</v>
      </c>
      <c r="F65" s="3">
        <v>0</v>
      </c>
      <c r="G65" s="3">
        <v>800</v>
      </c>
      <c r="H65" s="3">
        <f>G65/B65</f>
        <v>400</v>
      </c>
    </row>
    <row r="66" spans="1:9" x14ac:dyDescent="0.2">
      <c r="A66" s="3" t="s">
        <v>28</v>
      </c>
      <c r="B66" s="12">
        <v>4</v>
      </c>
      <c r="C66" s="3">
        <v>2</v>
      </c>
      <c r="D66" s="3">
        <v>0</v>
      </c>
      <c r="E66" s="3">
        <v>1</v>
      </c>
      <c r="F66" s="3">
        <v>0</v>
      </c>
      <c r="G66" s="3">
        <v>1200</v>
      </c>
      <c r="H66" s="10">
        <f>G66/B66</f>
        <v>300</v>
      </c>
      <c r="I66" t="s">
        <v>46</v>
      </c>
    </row>
    <row r="67" spans="1:9" x14ac:dyDescent="0.2">
      <c r="A67" s="3" t="s">
        <v>29</v>
      </c>
      <c r="B67" s="3">
        <v>3</v>
      </c>
      <c r="C67" s="3">
        <v>1</v>
      </c>
      <c r="D67" s="3">
        <v>0</v>
      </c>
      <c r="E67" s="3">
        <v>0</v>
      </c>
      <c r="F67" s="3">
        <v>1</v>
      </c>
      <c r="G67" s="3">
        <v>1000</v>
      </c>
      <c r="H67" s="3">
        <f t="shared" ref="H67" si="0">G67/B67</f>
        <v>333.33333333333331</v>
      </c>
    </row>
    <row r="69" spans="1:9" x14ac:dyDescent="0.2">
      <c r="A69" s="5" t="s">
        <v>40</v>
      </c>
      <c r="B69" s="5"/>
      <c r="C69" s="5"/>
      <c r="D69" t="s">
        <v>41</v>
      </c>
    </row>
    <row r="70" spans="1:9" x14ac:dyDescent="0.2">
      <c r="A70" s="14" t="s">
        <v>44</v>
      </c>
      <c r="B70" s="14"/>
      <c r="C70" s="14"/>
    </row>
    <row r="71" spans="1:9" x14ac:dyDescent="0.2">
      <c r="A71" s="13"/>
      <c r="B71" t="s">
        <v>48</v>
      </c>
    </row>
    <row r="72" spans="1:9" x14ac:dyDescent="0.2">
      <c r="B72" t="s">
        <v>47</v>
      </c>
    </row>
    <row r="73" spans="1:9" x14ac:dyDescent="0.2">
      <c r="A73" s="3" t="s">
        <v>45</v>
      </c>
      <c r="B73" s="3" t="s">
        <v>35</v>
      </c>
      <c r="C73" s="3" t="s">
        <v>36</v>
      </c>
      <c r="D73" s="3" t="s">
        <v>27</v>
      </c>
      <c r="E73" s="3" t="s">
        <v>28</v>
      </c>
      <c r="F73" s="3" t="s">
        <v>29</v>
      </c>
      <c r="G73" s="3" t="s">
        <v>37</v>
      </c>
      <c r="H73" s="3" t="s">
        <v>42</v>
      </c>
    </row>
    <row r="74" spans="1:9" x14ac:dyDescent="0.2">
      <c r="A74" s="3" t="s">
        <v>34</v>
      </c>
      <c r="B74" s="11">
        <v>0</v>
      </c>
      <c r="C74" s="3">
        <f>(B66*C64-(C66*B64))/B66</f>
        <v>-1</v>
      </c>
      <c r="D74" s="3">
        <v>0</v>
      </c>
      <c r="E74" s="3">
        <f>(B66*E64-(E66*B64))/4</f>
        <v>2</v>
      </c>
      <c r="F74" s="3">
        <v>0</v>
      </c>
      <c r="G74" s="3">
        <f>(B66*G64-(G66*B64))/B66</f>
        <v>2400</v>
      </c>
      <c r="H74" s="3" t="s">
        <v>43</v>
      </c>
    </row>
    <row r="75" spans="1:9" x14ac:dyDescent="0.2">
      <c r="A75" s="3" t="s">
        <v>27</v>
      </c>
      <c r="B75" s="3">
        <v>0</v>
      </c>
      <c r="C75" s="15">
        <f>(B66*C65-(C66*B65))/B66</f>
        <v>0.5</v>
      </c>
      <c r="D75" s="3">
        <v>1</v>
      </c>
      <c r="E75" s="3">
        <f>(B66*E65-(E66*B65))/4</f>
        <v>-0.5</v>
      </c>
      <c r="F75" s="3">
        <v>0</v>
      </c>
      <c r="G75" s="3">
        <f>(B66*G65-(G66*B65))/B66</f>
        <v>200</v>
      </c>
      <c r="H75" s="18">
        <f>G75/C75</f>
        <v>400</v>
      </c>
    </row>
    <row r="76" spans="1:9" x14ac:dyDescent="0.2">
      <c r="A76" s="3" t="s">
        <v>35</v>
      </c>
      <c r="B76" s="3">
        <v>1</v>
      </c>
      <c r="C76" s="3">
        <f>C66/B66</f>
        <v>0.5</v>
      </c>
      <c r="D76" s="3">
        <v>0</v>
      </c>
      <c r="E76" s="3">
        <f>E66/B66</f>
        <v>0.25</v>
      </c>
      <c r="F76" s="3">
        <v>0</v>
      </c>
      <c r="G76" s="3">
        <f>G66/B66</f>
        <v>300</v>
      </c>
      <c r="H76" s="3">
        <f>G76/C76</f>
        <v>600</v>
      </c>
    </row>
    <row r="77" spans="1:9" x14ac:dyDescent="0.2">
      <c r="A77" s="3" t="s">
        <v>29</v>
      </c>
      <c r="B77" s="3">
        <v>0</v>
      </c>
      <c r="C77" s="11">
        <f>(B66*C67-(C66*B67))/B66</f>
        <v>-0.5</v>
      </c>
      <c r="D77" s="3">
        <v>0</v>
      </c>
      <c r="E77" s="3">
        <f>(B66*E67-(E66*B67))/4</f>
        <v>-0.75</v>
      </c>
      <c r="F77" s="3">
        <v>1</v>
      </c>
      <c r="G77" s="3">
        <f>(B66*G67-(G66*B67))/B66</f>
        <v>100</v>
      </c>
      <c r="H77" s="11">
        <f>G77/C77</f>
        <v>-200</v>
      </c>
      <c r="I77" t="s">
        <v>81</v>
      </c>
    </row>
    <row r="79" spans="1:9" x14ac:dyDescent="0.2">
      <c r="A79" s="5" t="s">
        <v>49</v>
      </c>
      <c r="B79" s="5"/>
      <c r="C79" s="5"/>
      <c r="D79" s="5"/>
      <c r="E79" s="5"/>
    </row>
    <row r="80" spans="1:9" x14ac:dyDescent="0.2">
      <c r="A80" s="14" t="s">
        <v>51</v>
      </c>
      <c r="B80" s="14"/>
      <c r="C80" s="14"/>
      <c r="D80" s="14"/>
      <c r="E80" s="14"/>
    </row>
    <row r="81" spans="1:9" x14ac:dyDescent="0.2">
      <c r="A81" s="16"/>
      <c r="B81" t="s">
        <v>48</v>
      </c>
    </row>
    <row r="82" spans="1:9" x14ac:dyDescent="0.2">
      <c r="B82" t="s">
        <v>50</v>
      </c>
    </row>
    <row r="83" spans="1:9" x14ac:dyDescent="0.2">
      <c r="A83" s="3" t="s">
        <v>45</v>
      </c>
      <c r="B83" s="3" t="s">
        <v>35</v>
      </c>
      <c r="C83" s="3" t="s">
        <v>36</v>
      </c>
      <c r="D83" s="3" t="s">
        <v>27</v>
      </c>
      <c r="E83" s="3" t="s">
        <v>28</v>
      </c>
      <c r="F83" s="3" t="s">
        <v>29</v>
      </c>
      <c r="G83" s="3" t="s">
        <v>37</v>
      </c>
      <c r="H83" s="3" t="s">
        <v>42</v>
      </c>
    </row>
    <row r="84" spans="1:9" x14ac:dyDescent="0.2">
      <c r="A84" s="3" t="s">
        <v>34</v>
      </c>
      <c r="B84" s="11">
        <v>0</v>
      </c>
      <c r="C84" s="3">
        <v>0</v>
      </c>
      <c r="D84" s="3">
        <f>(C75*D74-(D75*C74))/C75</f>
        <v>2</v>
      </c>
      <c r="E84" s="3">
        <f>(C75*E74-(E75*C74))/C75</f>
        <v>1</v>
      </c>
      <c r="F84" s="3">
        <v>0</v>
      </c>
      <c r="G84" s="3">
        <f>(C75*G74-(G75*C74))/C75</f>
        <v>2800</v>
      </c>
      <c r="H84" s="3" t="s">
        <v>43</v>
      </c>
    </row>
    <row r="85" spans="1:9" x14ac:dyDescent="0.2">
      <c r="A85" s="3" t="s">
        <v>36</v>
      </c>
      <c r="B85" s="3">
        <v>0</v>
      </c>
      <c r="C85" s="3">
        <v>1</v>
      </c>
      <c r="D85" s="3">
        <f>D75/C75</f>
        <v>2</v>
      </c>
      <c r="E85" s="3">
        <f>E75/C75</f>
        <v>-1</v>
      </c>
      <c r="F85" s="3">
        <v>0</v>
      </c>
      <c r="G85" s="3">
        <f>G75/C75</f>
        <v>400</v>
      </c>
      <c r="H85" s="9">
        <f>G85</f>
        <v>400</v>
      </c>
    </row>
    <row r="86" spans="1:9" x14ac:dyDescent="0.2">
      <c r="A86" s="3" t="s">
        <v>35</v>
      </c>
      <c r="B86" s="3">
        <v>1</v>
      </c>
      <c r="C86" s="3">
        <v>0</v>
      </c>
      <c r="D86" s="3">
        <f>(C75*D76-(C76*D75))/C75</f>
        <v>-1</v>
      </c>
      <c r="E86" s="3">
        <f>(C75*E76-(C76*E75))/C75</f>
        <v>0.75</v>
      </c>
      <c r="F86" s="3">
        <v>0</v>
      </c>
      <c r="G86" s="3">
        <f>(C75*G76-(G75*C76))/C75</f>
        <v>100</v>
      </c>
      <c r="H86" s="9">
        <f>G86</f>
        <v>100</v>
      </c>
    </row>
    <row r="87" spans="1:9" x14ac:dyDescent="0.2">
      <c r="A87" s="3" t="s">
        <v>29</v>
      </c>
      <c r="B87" s="3">
        <v>0</v>
      </c>
      <c r="C87" s="11">
        <v>0</v>
      </c>
      <c r="D87" s="3">
        <f>(C75*D77-(C77*D75))/C75</f>
        <v>1</v>
      </c>
      <c r="E87" s="3">
        <f>(C75*E77-(C77*E75))/C75</f>
        <v>-1.25</v>
      </c>
      <c r="F87" s="11">
        <v>1</v>
      </c>
      <c r="G87" s="3">
        <f>(C75*G77-(G75*C77))/C75</f>
        <v>300</v>
      </c>
      <c r="H87" s="11">
        <f>G87/F87</f>
        <v>300</v>
      </c>
      <c r="I87" t="s">
        <v>85</v>
      </c>
    </row>
    <row r="89" spans="1:9" x14ac:dyDescent="0.2">
      <c r="A89" s="17" t="s">
        <v>52</v>
      </c>
      <c r="B89" s="17"/>
      <c r="C89" s="17"/>
      <c r="D89" s="17"/>
      <c r="E89" s="17"/>
    </row>
    <row r="90" spans="1:9" x14ac:dyDescent="0.2">
      <c r="A90" s="17" t="s">
        <v>53</v>
      </c>
      <c r="B90" s="17"/>
      <c r="C90" s="17"/>
      <c r="D90" s="17"/>
      <c r="E90" s="17"/>
    </row>
    <row r="91" spans="1:9" x14ac:dyDescent="0.2">
      <c r="A91" s="17" t="s">
        <v>16</v>
      </c>
    </row>
    <row r="92" spans="1:9" x14ac:dyDescent="0.2">
      <c r="A92" s="17" t="s">
        <v>54</v>
      </c>
    </row>
    <row r="93" spans="1:9" x14ac:dyDescent="0.2">
      <c r="A93" s="17" t="s">
        <v>55</v>
      </c>
      <c r="B93" s="17"/>
      <c r="C93" s="17"/>
      <c r="D93" s="17"/>
      <c r="E93" s="17"/>
      <c r="F93" s="17"/>
      <c r="G93" s="17"/>
      <c r="H93" s="17"/>
    </row>
    <row r="94" spans="1:9" x14ac:dyDescent="0.2">
      <c r="A94" s="17" t="s">
        <v>56</v>
      </c>
      <c r="B94" s="17"/>
      <c r="C94" s="17"/>
      <c r="D94" s="17"/>
      <c r="E94" s="17"/>
      <c r="F94" s="17"/>
      <c r="G94" s="17"/>
      <c r="H94" s="17"/>
    </row>
    <row r="95" spans="1:9" x14ac:dyDescent="0.2">
      <c r="A95" s="17"/>
      <c r="B95" s="17"/>
      <c r="C95" s="17"/>
      <c r="D95" s="17"/>
      <c r="E95" s="17"/>
      <c r="F95" s="17"/>
      <c r="G95" s="17"/>
      <c r="H95" s="17"/>
    </row>
    <row r="96" spans="1:9" x14ac:dyDescent="0.2">
      <c r="A96" s="17"/>
      <c r="B96" s="17" t="s">
        <v>57</v>
      </c>
      <c r="C96" s="17"/>
      <c r="D96" s="17"/>
      <c r="E96" s="17"/>
      <c r="F96" s="17"/>
      <c r="G96" s="17"/>
      <c r="H96" s="17"/>
    </row>
    <row r="97" spans="1:8" x14ac:dyDescent="0.2">
      <c r="A97" s="11"/>
      <c r="B97" s="11" t="s">
        <v>35</v>
      </c>
      <c r="C97" s="11" t="s">
        <v>36</v>
      </c>
      <c r="D97" s="17"/>
      <c r="E97" s="17" t="s">
        <v>60</v>
      </c>
      <c r="F97" s="17"/>
      <c r="G97" s="17"/>
      <c r="H97" s="17"/>
    </row>
    <row r="98" spans="1:8" x14ac:dyDescent="0.2">
      <c r="A98" s="19" t="s">
        <v>37</v>
      </c>
      <c r="B98" s="3">
        <v>100</v>
      </c>
      <c r="C98" s="3">
        <v>400</v>
      </c>
    </row>
    <row r="99" spans="1:8" x14ac:dyDescent="0.2">
      <c r="A99" s="19" t="s">
        <v>58</v>
      </c>
      <c r="B99" s="3">
        <v>8</v>
      </c>
      <c r="C99" s="3">
        <v>5</v>
      </c>
      <c r="D99" t="s">
        <v>34</v>
      </c>
      <c r="E99">
        <f>SUMPRODUCT(B99:C99,B98:C98)</f>
        <v>2800</v>
      </c>
      <c r="G99" t="s">
        <v>64</v>
      </c>
    </row>
    <row r="100" spans="1:8" x14ac:dyDescent="0.2">
      <c r="A100" s="19" t="s">
        <v>59</v>
      </c>
      <c r="B100" s="3">
        <v>2</v>
      </c>
      <c r="C100" s="3">
        <v>1.5</v>
      </c>
      <c r="D100" t="s">
        <v>61</v>
      </c>
      <c r="E100">
        <f>SUMPRODUCT(B98:C98,B100:C100)</f>
        <v>800</v>
      </c>
      <c r="F100" t="s">
        <v>65</v>
      </c>
      <c r="G100">
        <v>800</v>
      </c>
    </row>
    <row r="101" spans="1:8" x14ac:dyDescent="0.2">
      <c r="B101" s="3">
        <v>4</v>
      </c>
      <c r="C101" s="3">
        <v>2</v>
      </c>
      <c r="D101" t="s">
        <v>62</v>
      </c>
      <c r="E101">
        <f>SUMPRODUCT(B98:C98,B101:C101)</f>
        <v>1200</v>
      </c>
      <c r="F101" t="s">
        <v>65</v>
      </c>
      <c r="G101">
        <v>1200</v>
      </c>
    </row>
    <row r="102" spans="1:8" x14ac:dyDescent="0.2">
      <c r="B102" s="3">
        <v>3</v>
      </c>
      <c r="C102" s="3">
        <v>1</v>
      </c>
      <c r="D102" t="s">
        <v>63</v>
      </c>
      <c r="E102">
        <f>SUMPRODUCT(B98:C98,B102:C102)</f>
        <v>700</v>
      </c>
      <c r="F102" t="s">
        <v>65</v>
      </c>
      <c r="G102">
        <v>1000</v>
      </c>
    </row>
    <row r="104" spans="1:8" x14ac:dyDescent="0.2">
      <c r="A104" t="s">
        <v>66</v>
      </c>
      <c r="C104" t="s">
        <v>86</v>
      </c>
    </row>
    <row r="105" spans="1:8" x14ac:dyDescent="0.2">
      <c r="A105" t="s">
        <v>67</v>
      </c>
    </row>
    <row r="106" spans="1:8" x14ac:dyDescent="0.2">
      <c r="A106" t="s">
        <v>68</v>
      </c>
    </row>
    <row r="107" spans="1:8" x14ac:dyDescent="0.2">
      <c r="A107" t="s">
        <v>69</v>
      </c>
    </row>
    <row r="108" spans="1:8" x14ac:dyDescent="0.2">
      <c r="A108" t="s">
        <v>70</v>
      </c>
    </row>
    <row r="110" spans="1:8" x14ac:dyDescent="0.2">
      <c r="B110" t="s">
        <v>71</v>
      </c>
    </row>
    <row r="112" spans="1:8" x14ac:dyDescent="0.2">
      <c r="B112" s="30" t="s">
        <v>100</v>
      </c>
      <c r="C112" s="8"/>
      <c r="D112" t="s">
        <v>87</v>
      </c>
    </row>
    <row r="114" spans="1:3" x14ac:dyDescent="0.2">
      <c r="A114" t="s">
        <v>72</v>
      </c>
      <c r="B114" t="s">
        <v>74</v>
      </c>
    </row>
    <row r="115" spans="1:3" x14ac:dyDescent="0.2">
      <c r="A115" t="s">
        <v>73</v>
      </c>
    </row>
    <row r="116" spans="1:3" x14ac:dyDescent="0.2">
      <c r="A116" t="s">
        <v>75</v>
      </c>
    </row>
    <row r="118" spans="1:3" x14ac:dyDescent="0.2">
      <c r="B118" t="s">
        <v>76</v>
      </c>
    </row>
    <row r="119" spans="1:3" x14ac:dyDescent="0.2">
      <c r="B119" s="29" t="s">
        <v>101</v>
      </c>
      <c r="C119" t="s">
        <v>80</v>
      </c>
    </row>
  </sheetData>
  <mergeCells count="13">
    <mergeCell ref="E6:F6"/>
    <mergeCell ref="E7:F7"/>
    <mergeCell ref="C8:D8"/>
    <mergeCell ref="E8:F8"/>
    <mergeCell ref="A3:A4"/>
    <mergeCell ref="B3:B4"/>
    <mergeCell ref="C3:F3"/>
    <mergeCell ref="C4:D4"/>
    <mergeCell ref="E4:F4"/>
    <mergeCell ref="C5:D5"/>
    <mergeCell ref="C6:D6"/>
    <mergeCell ref="C7:D7"/>
    <mergeCell ref="E5:F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2</vt:i4>
      </vt:variant>
    </vt:vector>
  </HeadingPairs>
  <TitlesOfParts>
    <vt:vector size="4" baseType="lpstr">
      <vt:lpstr>Титульник</vt:lpstr>
      <vt:lpstr>Лаба_5вар</vt:lpstr>
      <vt:lpstr>Диаграмма1</vt:lpstr>
      <vt:lpstr>Диаграмма2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2025-09-03T18:46:35Z</dcterms:created>
  <dcterms:modified xsi:type="dcterms:W3CDTF">2026-01-12T16:20:57Z</dcterms:modified>
</cp:coreProperties>
</file>