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00CB801F-4689-5342-B031-F69D87212DAF}" xr6:coauthVersionLast="47" xr6:coauthVersionMax="47" xr10:uidLastSave="{00000000-0000-0000-0000-000000000000}"/>
  <bookViews>
    <workbookView xWindow="-36000" yWindow="0" windowWidth="36000" windowHeight="22500" activeTab="1" xr2:uid="{6C82EAD4-42F5-4E9E-B267-52006098C6BB}"/>
  </bookViews>
  <sheets>
    <sheet name="Титульник" sheetId="2" r:id="rId1"/>
    <sheet name="7вариант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0" i="1" l="1"/>
  <c r="E61" i="1"/>
  <c r="F62" i="1"/>
  <c r="I54" i="1"/>
  <c r="J54" i="1" s="1"/>
  <c r="I52" i="1"/>
  <c r="J52" i="1" s="1"/>
  <c r="I51" i="1"/>
  <c r="I50" i="1"/>
  <c r="G54" i="1"/>
  <c r="G62" i="1" s="1"/>
  <c r="G52" i="1"/>
  <c r="G51" i="1"/>
  <c r="G50" i="1"/>
  <c r="E54" i="1"/>
  <c r="E52" i="1"/>
  <c r="E51" i="1"/>
  <c r="E50" i="1"/>
  <c r="D54" i="1"/>
  <c r="H58" i="1" s="1"/>
  <c r="D52" i="1"/>
  <c r="D51" i="1"/>
  <c r="D50" i="1"/>
  <c r="I53" i="1"/>
  <c r="G53" i="1"/>
  <c r="E53" i="1"/>
  <c r="D53" i="1"/>
  <c r="J53" i="1" s="1"/>
  <c r="B53" i="1"/>
  <c r="B54" i="1"/>
  <c r="B62" i="1" s="1"/>
  <c r="B52" i="1"/>
  <c r="B51" i="1"/>
  <c r="B50" i="1"/>
  <c r="H59" i="1" l="1"/>
  <c r="I60" i="1"/>
  <c r="H61" i="1"/>
  <c r="I62" i="1"/>
  <c r="H62" i="1"/>
  <c r="E59" i="1"/>
  <c r="E62" i="1"/>
  <c r="D62" i="1"/>
  <c r="G59" i="1"/>
  <c r="I58" i="1"/>
  <c r="B59" i="1"/>
  <c r="B60" i="1"/>
  <c r="H60" i="1"/>
  <c r="I61" i="1"/>
  <c r="B61" i="1"/>
  <c r="E58" i="1"/>
  <c r="E60" i="1"/>
  <c r="G58" i="1"/>
  <c r="C62" i="1"/>
  <c r="C70" i="1" s="1"/>
  <c r="G60" i="1"/>
  <c r="G61" i="1"/>
  <c r="I59" i="1"/>
  <c r="B58" i="1"/>
  <c r="J43" i="1"/>
  <c r="J44" i="1"/>
  <c r="J45" i="1"/>
  <c r="I69" i="1" l="1"/>
  <c r="H69" i="1"/>
  <c r="G69" i="1"/>
  <c r="E69" i="1"/>
  <c r="G68" i="1"/>
  <c r="H68" i="1"/>
  <c r="E68" i="1"/>
  <c r="B69" i="1"/>
  <c r="I68" i="1"/>
  <c r="B68" i="1"/>
</calcChain>
</file>

<file path=xl/sharedStrings.xml><?xml version="1.0" encoding="utf-8"?>
<sst xmlns="http://schemas.openxmlformats.org/spreadsheetml/2006/main" count="181" uniqueCount="128">
  <si>
    <t>Синильная кислота - Х1</t>
  </si>
  <si>
    <t>Цианидная кислота - Х2</t>
  </si>
  <si>
    <t>Е=250Х1+800Х2-min</t>
  </si>
  <si>
    <t>1. Мат модель</t>
  </si>
  <si>
    <t>Х2≥500</t>
  </si>
  <si>
    <t>мин.выпуск</t>
  </si>
  <si>
    <t>5Х1+10Х2≥10000</t>
  </si>
  <si>
    <t>общая стоимость убытков</t>
  </si>
  <si>
    <t>4X1+6X2≤12000</t>
  </si>
  <si>
    <r>
      <t>Х1,Х2</t>
    </r>
    <r>
      <rPr>
        <sz val="11"/>
        <color theme="1"/>
        <rFont val="Calibri"/>
        <family val="2"/>
        <charset val="204"/>
      </rPr>
      <t>≥0</t>
    </r>
  </si>
  <si>
    <t>не отриц</t>
  </si>
  <si>
    <t>руда</t>
  </si>
  <si>
    <t>2. Станд.форма</t>
  </si>
  <si>
    <t>избыточная</t>
  </si>
  <si>
    <t>Х2-X3=500</t>
  </si>
  <si>
    <t>5Х1+10Х2-X4=10000</t>
  </si>
  <si>
    <r>
      <t>X1-5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  <charset val="204"/>
      </rPr>
      <t>0</t>
    </r>
  </si>
  <si>
    <t>4X1+6X2+X5=12000</t>
  </si>
  <si>
    <t>Поиск допустимого решения</t>
  </si>
  <si>
    <t>Х2-X3+а1=500</t>
  </si>
  <si>
    <t>5Х1+10Х2-X4+а2=10000</t>
  </si>
  <si>
    <t>ШАГ 1(искусственные переменные)</t>
  </si>
  <si>
    <t>ШАГ 2(искусственная цел.ф.)</t>
  </si>
  <si>
    <r>
      <t xml:space="preserve">Х5 остаточная и </t>
    </r>
    <r>
      <rPr>
        <sz val="11"/>
        <color rgb="FFFF0000"/>
        <rFont val="Calibri"/>
        <family val="2"/>
        <charset val="204"/>
        <scheme val="minor"/>
      </rPr>
      <t>БАЗИСНАЯ</t>
    </r>
  </si>
  <si>
    <t>W=a1+a2-min</t>
  </si>
  <si>
    <t>W=500-X2+X3+10000-5X1-10X2+X4-min</t>
  </si>
  <si>
    <t>ШАГ 3</t>
  </si>
  <si>
    <t>ШАГ 4</t>
  </si>
  <si>
    <t>(-)W=-X3-10500+5X1+11X2-X4-max</t>
  </si>
  <si>
    <t>Cтанд.вид</t>
  </si>
  <si>
    <r>
      <t>Х1-5,а1-2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  <charset val="204"/>
      </rPr>
      <t>0</t>
    </r>
  </si>
  <si>
    <t>ШАГ 5</t>
  </si>
  <si>
    <t>Начальное значение W=-10500</t>
  </si>
  <si>
    <t>Е=0</t>
  </si>
  <si>
    <t>Х5=12000</t>
  </si>
  <si>
    <t>а1=500</t>
  </si>
  <si>
    <t>а2=10000</t>
  </si>
  <si>
    <t>ШАГ 6</t>
  </si>
  <si>
    <t>Базис</t>
  </si>
  <si>
    <t>Решение</t>
  </si>
  <si>
    <t>Отношение</t>
  </si>
  <si>
    <t>-E</t>
  </si>
  <si>
    <t>-W</t>
  </si>
  <si>
    <t>Х1</t>
  </si>
  <si>
    <t>Х2</t>
  </si>
  <si>
    <t>Х3</t>
  </si>
  <si>
    <t>Х4</t>
  </si>
  <si>
    <t>Х5</t>
  </si>
  <si>
    <t>а1</t>
  </si>
  <si>
    <t>а2</t>
  </si>
  <si>
    <t>(-) Е= -250*Х1-800*Х2 - мах</t>
  </si>
  <si>
    <t>ШАГ 7(минимизация W)</t>
  </si>
  <si>
    <t>Х2 - ведущий столбец</t>
  </si>
  <si>
    <t>а2 исключается из базиса</t>
  </si>
  <si>
    <t>а1=500-х2+х3</t>
  </si>
  <si>
    <t>а2=10000+х4-5х1-10х2</t>
  </si>
  <si>
    <t>а1 исключается из базиса</t>
  </si>
  <si>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</si>
  <si>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</si>
  <si>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</si>
  <si>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</si>
  <si>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</si>
  <si>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</si>
  <si>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</si>
  <si>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</si>
  <si>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t>Минск 2025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</si>
  <si>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2</t>
    </r>
  </si>
  <si>
    <t>Х3-ведущий столбец</t>
  </si>
  <si>
    <t>вывод: искусственная ц.ф. равна 0 и все искусственные переменные исключены из базиса.</t>
  </si>
  <si>
    <t>2 этап( поиск оптимального решения)</t>
  </si>
  <si>
    <t>Вывод:сразу получена новая сиплекс-таблица, в которой в значениях строки ц.ф. отсутствуют отриц. Значения</t>
  </si>
  <si>
    <t>Х1=0</t>
  </si>
  <si>
    <t>Х2=1000</t>
  </si>
  <si>
    <t>Х3=500</t>
  </si>
  <si>
    <t>Х4=0</t>
  </si>
  <si>
    <t>Х5=6000</t>
  </si>
  <si>
    <t>излишек производства цианидной кислоты относительно минимального плана 500т в сутки</t>
  </si>
  <si>
    <t>предприятие не произвело синильную кислоту за сутки</t>
  </si>
  <si>
    <t>предприятие произвело цианидную кислоту за сутки 2 раза больше минимального плана</t>
  </si>
  <si>
    <t>недостатка по стоимости нет</t>
  </si>
  <si>
    <t>остаток неиспользованной руды</t>
  </si>
  <si>
    <t>объем опасных отходов</t>
  </si>
  <si>
    <t>3. Анализ на чувствительность</t>
  </si>
  <si>
    <t>Значения из остаточного столбца взяты(Х5)</t>
  </si>
  <si>
    <t>(-)Е=800000</t>
  </si>
  <si>
    <t>Х2=1000+0d</t>
  </si>
  <si>
    <t>Х3=500+d</t>
  </si>
  <si>
    <t>Х5=6000+0d</t>
  </si>
  <si>
    <t>(-)Е=800000+0d</t>
  </si>
  <si>
    <t>Поиск диапазона изменений ограничения</t>
  </si>
  <si>
    <r>
      <t>Х3=500+d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</rPr>
      <t>0</t>
    </r>
  </si>
  <si>
    <r>
      <t>Х5=6000+0d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</rPr>
      <t>0</t>
    </r>
  </si>
  <si>
    <r>
      <t>Х2=1000+0d</t>
    </r>
    <r>
      <rPr>
        <sz val="11"/>
        <color theme="1"/>
        <rFont val="Calibri"/>
        <family val="2"/>
        <charset val="204"/>
      </rPr>
      <t>≥</t>
    </r>
    <r>
      <rPr>
        <sz val="11"/>
        <color theme="1"/>
        <rFont val="Calibri"/>
        <family val="2"/>
        <charset val="204"/>
        <scheme val="minor"/>
      </rPr>
      <t>0</t>
    </r>
  </si>
  <si>
    <t>это означает, что ограничение на производство кислот будет расходоваться не менее 11500 т руды</t>
  </si>
  <si>
    <t>Ц.Ф СТРЕМИТСЯ К МИНИМУМУ!</t>
  </si>
  <si>
    <t>F1=150-0,5d</t>
  </si>
  <si>
    <t>(-)E=800000-500d</t>
  </si>
  <si>
    <t>Диапазон</t>
  </si>
  <si>
    <r>
      <t>F1=150-0,5d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  <charset val="204"/>
      </rPr>
      <t>0</t>
    </r>
  </si>
  <si>
    <t>Анализ на чувствительность для цианидной кислоты(Х2)</t>
  </si>
  <si>
    <t>F4=150-0,5d</t>
  </si>
  <si>
    <r>
      <t>F4=150-0,5d</t>
    </r>
    <r>
      <rPr>
        <sz val="11"/>
        <color theme="1"/>
        <rFont val="Calibri"/>
        <family val="2"/>
        <charset val="204"/>
      </rPr>
      <t>≥</t>
    </r>
    <r>
      <rPr>
        <sz val="10.1"/>
        <color theme="1"/>
        <rFont val="Calibri"/>
        <family val="2"/>
        <charset val="204"/>
      </rPr>
      <t>0</t>
    </r>
  </si>
  <si>
    <t>допустимые значения выброса отходов для цианидной кислоты</t>
  </si>
  <si>
    <t>4. Графический метод</t>
  </si>
  <si>
    <t>Е(А)=</t>
  </si>
  <si>
    <t>Е(В)=</t>
  </si>
  <si>
    <t>данное значение является оптимальным, так как по условию задачи мы должны минимизировать отходы, получаемые при производстве кислот.</t>
  </si>
  <si>
    <t>РЕШЕНИЕ ЗАДАЧ ЛИНЕЙНОГО ПРОГРАММИРОВАНИЯ</t>
  </si>
  <si>
    <t>НА ОСНОВЕ МЕТОДОВ ИСКУССТВЕННОГО БАЗИСА</t>
  </si>
  <si>
    <t>250Х1+800Х2</t>
  </si>
  <si>
    <t>Е(С)=</t>
  </si>
  <si>
    <t>Значения из избыточного столбца(X4)</t>
  </si>
  <si>
    <t>X3=500+0,1d</t>
  </si>
  <si>
    <t>X2=1000-0,5d</t>
  </si>
  <si>
    <t>X5=6000-d</t>
  </si>
  <si>
    <t>Больше или равно</t>
  </si>
  <si>
    <t>Меньше или равно</t>
  </si>
  <si>
    <t>X2=1000-0,5d≥0</t>
  </si>
  <si>
    <t>X3=500+0,1d≥0</t>
  </si>
  <si>
    <t>X5=6000-d≥0</t>
  </si>
  <si>
    <t>(-)E=800000-150d</t>
  </si>
  <si>
    <t>d∈[-5000; 2000]</t>
  </si>
  <si>
    <t>d∈[11500; ∞]</t>
  </si>
  <si>
    <t>d∈[-500; ∞]</t>
  </si>
  <si>
    <t>d∈[-∞; 300]</t>
  </si>
  <si>
    <t>d∈[-∞; 1100]</t>
  </si>
  <si>
    <t>d∈[5000; 12000]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</si>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</sst>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.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9"/>
      <color rgb="FFF9FAFB"/>
      <name val="Segoe UI"/>
      <family val="2"/>
      <charset val="204"/>
    </font>
    <font>
      <sz val="8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.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2" borderId="0" xfId="0" applyFill="1"/>
    <xf numFmtId="0" fontId="4" fillId="0" borderId="1" xfId="1" applyBorder="1"/>
    <xf numFmtId="0" fontId="6" fillId="0" borderId="0" xfId="1" applyFont="1"/>
    <xf numFmtId="0" fontId="4" fillId="0" borderId="0" xfId="1"/>
    <xf numFmtId="0" fontId="4" fillId="0" borderId="1" xfId="1" quotePrefix="1" applyBorder="1"/>
    <xf numFmtId="0" fontId="4" fillId="4" borderId="0" xfId="1" applyFill="1"/>
    <xf numFmtId="0" fontId="4" fillId="5" borderId="1" xfId="1" applyFill="1" applyBorder="1"/>
    <xf numFmtId="0" fontId="4" fillId="3" borderId="0" xfId="1" applyFill="1"/>
    <xf numFmtId="0" fontId="4" fillId="2" borderId="2" xfId="1" applyFill="1" applyBorder="1"/>
    <xf numFmtId="0" fontId="4" fillId="0" borderId="2" xfId="1" applyBorder="1"/>
    <xf numFmtId="0" fontId="0" fillId="3" borderId="0" xfId="0" applyFill="1"/>
    <xf numFmtId="0" fontId="4" fillId="4" borderId="1" xfId="1" applyFill="1" applyBorder="1"/>
    <xf numFmtId="0" fontId="0" fillId="4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right" vertical="center"/>
    </xf>
    <xf numFmtId="0" fontId="4" fillId="6" borderId="1" xfId="1" applyFill="1" applyBorder="1"/>
    <xf numFmtId="0" fontId="4" fillId="7" borderId="1" xfId="1" quotePrefix="1" applyFill="1" applyBorder="1"/>
    <xf numFmtId="0" fontId="4" fillId="2" borderId="0" xfId="1" applyFill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 xr:uid="{82E42C4F-E124-4247-989A-BEB60A730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480843</xdr:colOff>
      <xdr:row>1</xdr:row>
      <xdr:rowOff>91441</xdr:rowOff>
    </xdr:from>
    <xdr:to>
      <xdr:col>18</xdr:col>
      <xdr:colOff>380339</xdr:colOff>
      <xdr:row>18</xdr:row>
      <xdr:rowOff>120596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29C90E4-BE43-8275-D18A-7427BE65F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6843" y="274321"/>
          <a:ext cx="5013178" cy="315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266701</xdr:colOff>
      <xdr:row>19</xdr:row>
      <xdr:rowOff>129541</xdr:rowOff>
    </xdr:from>
    <xdr:to>
      <xdr:col>18</xdr:col>
      <xdr:colOff>547979</xdr:colOff>
      <xdr:row>36</xdr:row>
      <xdr:rowOff>121921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43E5AAB-2093-3B1C-B86A-484A94C14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1" y="3604261"/>
          <a:ext cx="5394960" cy="3101339"/>
        </a:xfrm>
        <a:prstGeom prst="rect">
          <a:avLst/>
        </a:prstGeom>
      </xdr:spPr>
    </xdr:pic>
    <xdr:clientData/>
  </xdr:twoCellAnchor>
  <xdr:twoCellAnchor editAs="oneCell">
    <xdr:from>
      <xdr:col>6</xdr:col>
      <xdr:colOff>397565</xdr:colOff>
      <xdr:row>101</xdr:row>
      <xdr:rowOff>89837</xdr:rowOff>
    </xdr:from>
    <xdr:to>
      <xdr:col>11</xdr:col>
      <xdr:colOff>355540</xdr:colOff>
      <xdr:row>119</xdr:row>
      <xdr:rowOff>140806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FC2EAED-C3E9-EFDE-B020-E7A664554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3826" y="18510359"/>
          <a:ext cx="3229605" cy="3330882"/>
        </a:xfrm>
        <a:prstGeom prst="rect">
          <a:avLst/>
        </a:prstGeom>
      </xdr:spPr>
    </xdr:pic>
    <xdr:clientData/>
  </xdr:twoCellAnchor>
  <xdr:twoCellAnchor editAs="oneCell">
    <xdr:from>
      <xdr:col>0</xdr:col>
      <xdr:colOff>49697</xdr:colOff>
      <xdr:row>102</xdr:row>
      <xdr:rowOff>16566</xdr:rowOff>
    </xdr:from>
    <xdr:to>
      <xdr:col>6</xdr:col>
      <xdr:colOff>303717</xdr:colOff>
      <xdr:row>123</xdr:row>
      <xdr:rowOff>82827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8DD7A11-1AC9-A4C4-BD03-2B3FC0C4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97" y="18619305"/>
          <a:ext cx="4130281" cy="3892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4390-9352-474C-93A9-1AC0DA514D62}">
  <dimension ref="A1:K36"/>
  <sheetViews>
    <sheetView topLeftCell="B1" zoomScale="125" zoomScaleNormal="100" workbookViewId="0">
      <selection activeCell="M23" sqref="M23"/>
    </sheetView>
  </sheetViews>
  <sheetFormatPr baseColWidth="10" defaultColWidth="8.83203125" defaultRowHeight="15" x14ac:dyDescent="0.2"/>
  <cols>
    <col min="1" max="1" width="9.6640625" customWidth="1"/>
    <col min="2" max="2" width="8.83203125" customWidth="1"/>
  </cols>
  <sheetData>
    <row r="1" spans="1:11" ht="18" x14ac:dyDescent="0.2">
      <c r="F1" s="14" t="s">
        <v>57</v>
      </c>
      <c r="G1" s="14"/>
    </row>
    <row r="2" spans="1:11" ht="18" x14ac:dyDescent="0.2">
      <c r="F2" s="14" t="s">
        <v>58</v>
      </c>
      <c r="G2" s="14"/>
    </row>
    <row r="3" spans="1:11" ht="18" x14ac:dyDescent="0.2">
      <c r="F3" s="14" t="s">
        <v>59</v>
      </c>
      <c r="G3" s="14"/>
    </row>
    <row r="4" spans="1:11" ht="18" x14ac:dyDescent="0.2">
      <c r="G4" s="14"/>
    </row>
    <row r="5" spans="1:11" ht="18" x14ac:dyDescent="0.2">
      <c r="F5" s="14" t="s">
        <v>60</v>
      </c>
      <c r="G5" s="14"/>
    </row>
    <row r="6" spans="1:11" ht="18" x14ac:dyDescent="0.2">
      <c r="C6" s="15" t="s">
        <v>61</v>
      </c>
      <c r="G6" s="14"/>
    </row>
    <row r="7" spans="1:11" ht="18" x14ac:dyDescent="0.2">
      <c r="A7" s="14"/>
      <c r="C7" s="14"/>
    </row>
    <row r="8" spans="1:11" ht="18" x14ac:dyDescent="0.2">
      <c r="A8" s="14"/>
    </row>
    <row r="9" spans="1:11" ht="18" x14ac:dyDescent="0.2">
      <c r="A9" s="14"/>
      <c r="C9" s="16"/>
    </row>
    <row r="10" spans="1:11" ht="18" x14ac:dyDescent="0.2">
      <c r="A10" s="14"/>
      <c r="C10" s="16"/>
    </row>
    <row r="11" spans="1:11" ht="18" x14ac:dyDescent="0.2">
      <c r="A11" s="14"/>
      <c r="C11" s="16"/>
    </row>
    <row r="12" spans="1:11" ht="18" x14ac:dyDescent="0.2">
      <c r="A12" s="14"/>
      <c r="C12" s="16"/>
    </row>
    <row r="13" spans="1:11" ht="18" x14ac:dyDescent="0.2">
      <c r="C13" s="17"/>
      <c r="D13" s="14"/>
    </row>
    <row r="14" spans="1:11" ht="18" x14ac:dyDescent="0.2">
      <c r="D14" s="14"/>
      <c r="F14" s="16" t="s">
        <v>66</v>
      </c>
    </row>
    <row r="15" spans="1:11" ht="18" x14ac:dyDescent="0.2">
      <c r="C15" s="16"/>
      <c r="D15" s="14"/>
    </row>
    <row r="16" spans="1:11" ht="18.5" customHeight="1" x14ac:dyDescent="0.2">
      <c r="A16" s="25"/>
      <c r="B16" s="25"/>
      <c r="C16" s="26" t="s">
        <v>107</v>
      </c>
      <c r="D16" s="26"/>
      <c r="E16" s="26"/>
      <c r="F16" s="26"/>
      <c r="G16" s="26"/>
      <c r="H16" s="26"/>
      <c r="I16" s="26"/>
      <c r="J16" s="26"/>
      <c r="K16" s="26"/>
    </row>
    <row r="17" spans="1:11" ht="18" customHeight="1" x14ac:dyDescent="0.2">
      <c r="A17" s="14"/>
      <c r="C17" s="17"/>
      <c r="D17" s="18" t="s">
        <v>108</v>
      </c>
      <c r="E17" s="18"/>
      <c r="F17" s="18"/>
      <c r="G17" s="18"/>
      <c r="H17" s="18"/>
      <c r="I17" s="18"/>
      <c r="J17" s="18"/>
    </row>
    <row r="18" spans="1:11" ht="18" x14ac:dyDescent="0.2">
      <c r="A18" s="19"/>
      <c r="C18" s="17"/>
      <c r="E18" s="18"/>
    </row>
    <row r="19" spans="1:11" ht="18" x14ac:dyDescent="0.2">
      <c r="A19" s="19"/>
      <c r="C19" s="17"/>
    </row>
    <row r="20" spans="1:11" ht="18" x14ac:dyDescent="0.2">
      <c r="A20" s="19"/>
      <c r="C20" s="17"/>
    </row>
    <row r="21" spans="1:11" ht="18" x14ac:dyDescent="0.2">
      <c r="A21" s="19"/>
      <c r="C21" s="17"/>
    </row>
    <row r="22" spans="1:11" ht="18" x14ac:dyDescent="0.2">
      <c r="A22" s="20"/>
      <c r="C22" s="17"/>
    </row>
    <row r="23" spans="1:11" ht="18" x14ac:dyDescent="0.2">
      <c r="A23" s="20"/>
      <c r="C23" s="17"/>
    </row>
    <row r="24" spans="1:11" ht="18" x14ac:dyDescent="0.2">
      <c r="C24" s="17"/>
      <c r="K24" s="20"/>
    </row>
    <row r="25" spans="1:11" ht="18" x14ac:dyDescent="0.2">
      <c r="A25" s="19"/>
      <c r="C25" s="17"/>
    </row>
    <row r="26" spans="1:11" ht="18" x14ac:dyDescent="0.2">
      <c r="A26" s="19"/>
      <c r="B26" s="17" t="s">
        <v>62</v>
      </c>
      <c r="I26" s="17" t="s">
        <v>63</v>
      </c>
    </row>
    <row r="27" spans="1:11" ht="18" x14ac:dyDescent="0.2">
      <c r="A27" s="19"/>
      <c r="B27" s="17" t="s">
        <v>64</v>
      </c>
      <c r="I27" s="17" t="s">
        <v>127</v>
      </c>
    </row>
    <row r="28" spans="1:11" ht="18" x14ac:dyDescent="0.2">
      <c r="A28" s="19"/>
      <c r="C28" s="17"/>
      <c r="I28" s="17"/>
    </row>
    <row r="29" spans="1:11" ht="18" x14ac:dyDescent="0.2">
      <c r="A29" s="19"/>
    </row>
    <row r="30" spans="1:11" ht="18" x14ac:dyDescent="0.2">
      <c r="A30" s="21"/>
    </row>
    <row r="31" spans="1:11" ht="18" x14ac:dyDescent="0.2">
      <c r="A31" s="21"/>
    </row>
    <row r="32" spans="1:11" ht="18" x14ac:dyDescent="0.2">
      <c r="A32" s="14"/>
      <c r="C32" s="17"/>
    </row>
    <row r="33" spans="3:6" ht="18" x14ac:dyDescent="0.2">
      <c r="C33" s="17"/>
    </row>
    <row r="34" spans="3:6" ht="18" x14ac:dyDescent="0.2">
      <c r="C34" s="17"/>
    </row>
    <row r="35" spans="3:6" ht="18" x14ac:dyDescent="0.2">
      <c r="C35" s="17"/>
    </row>
    <row r="36" spans="3:6" ht="18" x14ac:dyDescent="0.2">
      <c r="F36" s="16" t="s">
        <v>65</v>
      </c>
    </row>
  </sheetData>
  <mergeCells count="1">
    <mergeCell ref="C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416-3394-4700-9711-96EB78264501}">
  <dimension ref="A1:R123"/>
  <sheetViews>
    <sheetView tabSelected="1" topLeftCell="A94" zoomScale="119" workbookViewId="0">
      <selection activeCell="G22" sqref="G22"/>
    </sheetView>
  </sheetViews>
  <sheetFormatPr baseColWidth="10" defaultColWidth="8.83203125" defaultRowHeight="15" x14ac:dyDescent="0.2"/>
  <cols>
    <col min="1" max="1" width="11.83203125" customWidth="1"/>
    <col min="9" max="9" width="12" bestFit="1" customWidth="1"/>
    <col min="17" max="17" width="12.5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s="1" t="s">
        <v>3</v>
      </c>
      <c r="B3" s="1"/>
    </row>
    <row r="4" spans="1:4" x14ac:dyDescent="0.2">
      <c r="A4" t="s">
        <v>4</v>
      </c>
      <c r="B4" t="s">
        <v>5</v>
      </c>
    </row>
    <row r="5" spans="1:4" x14ac:dyDescent="0.2">
      <c r="A5" t="s">
        <v>6</v>
      </c>
      <c r="C5" t="s">
        <v>7</v>
      </c>
    </row>
    <row r="6" spans="1:4" x14ac:dyDescent="0.2">
      <c r="A6" t="s">
        <v>8</v>
      </c>
      <c r="C6" t="s">
        <v>11</v>
      </c>
    </row>
    <row r="7" spans="1:4" x14ac:dyDescent="0.2">
      <c r="A7" t="s">
        <v>9</v>
      </c>
      <c r="B7" t="s">
        <v>10</v>
      </c>
    </row>
    <row r="8" spans="1:4" x14ac:dyDescent="0.2">
      <c r="A8" t="s">
        <v>2</v>
      </c>
    </row>
    <row r="9" spans="1:4" x14ac:dyDescent="0.2">
      <c r="A9" s="1" t="s">
        <v>12</v>
      </c>
      <c r="B9" s="1"/>
    </row>
    <row r="10" spans="1:4" x14ac:dyDescent="0.2">
      <c r="A10" t="s">
        <v>14</v>
      </c>
      <c r="C10" t="s">
        <v>13</v>
      </c>
    </row>
    <row r="11" spans="1:4" x14ac:dyDescent="0.2">
      <c r="A11" t="s">
        <v>15</v>
      </c>
      <c r="C11" t="s">
        <v>13</v>
      </c>
    </row>
    <row r="12" spans="1:4" x14ac:dyDescent="0.2">
      <c r="A12" t="s">
        <v>17</v>
      </c>
      <c r="C12" t="s">
        <v>23</v>
      </c>
    </row>
    <row r="13" spans="1:4" x14ac:dyDescent="0.2">
      <c r="A13" t="s">
        <v>16</v>
      </c>
    </row>
    <row r="14" spans="1:4" ht="15.5" customHeight="1" x14ac:dyDescent="0.2">
      <c r="A14" t="s">
        <v>50</v>
      </c>
    </row>
    <row r="15" spans="1:4" x14ac:dyDescent="0.2">
      <c r="A15" s="1" t="s">
        <v>18</v>
      </c>
      <c r="B15" s="1"/>
      <c r="C15" s="1"/>
    </row>
    <row r="16" spans="1:4" x14ac:dyDescent="0.2">
      <c r="A16" s="1" t="s">
        <v>21</v>
      </c>
      <c r="B16" s="1"/>
      <c r="C16" s="1"/>
      <c r="D16" s="1"/>
    </row>
    <row r="17" spans="1:5" x14ac:dyDescent="0.2">
      <c r="A17" t="s">
        <v>19</v>
      </c>
      <c r="E17" t="s">
        <v>54</v>
      </c>
    </row>
    <row r="18" spans="1:5" x14ac:dyDescent="0.2">
      <c r="A18" t="s">
        <v>20</v>
      </c>
      <c r="E18" t="s">
        <v>55</v>
      </c>
    </row>
    <row r="19" spans="1:5" x14ac:dyDescent="0.2">
      <c r="A19" t="s">
        <v>17</v>
      </c>
    </row>
    <row r="20" spans="1:5" x14ac:dyDescent="0.2">
      <c r="A20" s="1" t="s">
        <v>22</v>
      </c>
    </row>
    <row r="21" spans="1:5" x14ac:dyDescent="0.2">
      <c r="A21" t="s">
        <v>24</v>
      </c>
    </row>
    <row r="22" spans="1:5" x14ac:dyDescent="0.2">
      <c r="A22" s="1" t="s">
        <v>26</v>
      </c>
    </row>
    <row r="23" spans="1:5" x14ac:dyDescent="0.2">
      <c r="A23" t="s">
        <v>25</v>
      </c>
    </row>
    <row r="24" spans="1:5" x14ac:dyDescent="0.2">
      <c r="A24" s="1" t="s">
        <v>27</v>
      </c>
    </row>
    <row r="25" spans="1:5" x14ac:dyDescent="0.2">
      <c r="A25" t="s">
        <v>28</v>
      </c>
    </row>
    <row r="26" spans="1:5" x14ac:dyDescent="0.2">
      <c r="A26" t="s">
        <v>29</v>
      </c>
    </row>
    <row r="27" spans="1:5" x14ac:dyDescent="0.2">
      <c r="A27" t="s">
        <v>19</v>
      </c>
    </row>
    <row r="28" spans="1:5" x14ac:dyDescent="0.2">
      <c r="A28" t="s">
        <v>20</v>
      </c>
    </row>
    <row r="29" spans="1:5" x14ac:dyDescent="0.2">
      <c r="A29" t="s">
        <v>17</v>
      </c>
    </row>
    <row r="30" spans="1:5" x14ac:dyDescent="0.2">
      <c r="A30" t="s">
        <v>30</v>
      </c>
    </row>
    <row r="31" spans="1:5" x14ac:dyDescent="0.2">
      <c r="A31" t="s">
        <v>28</v>
      </c>
    </row>
    <row r="32" spans="1:5" x14ac:dyDescent="0.2">
      <c r="A32" t="s">
        <v>50</v>
      </c>
    </row>
    <row r="33" spans="1:10" x14ac:dyDescent="0.2">
      <c r="A33" s="1" t="s">
        <v>31</v>
      </c>
    </row>
    <row r="34" spans="1:10" x14ac:dyDescent="0.2">
      <c r="A34" t="s">
        <v>32</v>
      </c>
    </row>
    <row r="35" spans="1:10" x14ac:dyDescent="0.2">
      <c r="A35" t="s">
        <v>33</v>
      </c>
    </row>
    <row r="36" spans="1:10" x14ac:dyDescent="0.2">
      <c r="A36" t="s">
        <v>34</v>
      </c>
    </row>
    <row r="37" spans="1:10" x14ac:dyDescent="0.2">
      <c r="A37" t="s">
        <v>35</v>
      </c>
    </row>
    <row r="38" spans="1:10" x14ac:dyDescent="0.2">
      <c r="A38" t="s">
        <v>36</v>
      </c>
    </row>
    <row r="39" spans="1:10" x14ac:dyDescent="0.2">
      <c r="A39" s="1" t="s">
        <v>37</v>
      </c>
    </row>
    <row r="40" spans="1:10" x14ac:dyDescent="0.2">
      <c r="A40" s="2" t="s">
        <v>38</v>
      </c>
      <c r="B40" s="2" t="s">
        <v>43</v>
      </c>
      <c r="C40" s="2" t="s">
        <v>44</v>
      </c>
      <c r="D40" s="2" t="s">
        <v>45</v>
      </c>
      <c r="E40" s="2" t="s">
        <v>46</v>
      </c>
      <c r="F40" s="2" t="s">
        <v>47</v>
      </c>
      <c r="G40" s="2" t="s">
        <v>48</v>
      </c>
      <c r="H40" s="2" t="s">
        <v>49</v>
      </c>
      <c r="I40" s="2" t="s">
        <v>39</v>
      </c>
      <c r="J40" s="3" t="s">
        <v>40</v>
      </c>
    </row>
    <row r="41" spans="1:10" x14ac:dyDescent="0.2">
      <c r="A41" s="2" t="s">
        <v>41</v>
      </c>
      <c r="B41" s="2">
        <v>-250</v>
      </c>
      <c r="C41" s="22">
        <v>-800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4"/>
    </row>
    <row r="42" spans="1:10" x14ac:dyDescent="0.2">
      <c r="A42" s="2" t="s">
        <v>42</v>
      </c>
      <c r="B42" s="2">
        <v>-5</v>
      </c>
      <c r="C42" s="22">
        <v>-11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5">
        <v>-10500</v>
      </c>
      <c r="J42" s="6"/>
    </row>
    <row r="43" spans="1:10" x14ac:dyDescent="0.2">
      <c r="A43" s="2" t="s">
        <v>47</v>
      </c>
      <c r="B43" s="2">
        <v>4</v>
      </c>
      <c r="C43" s="22">
        <v>6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12000</v>
      </c>
      <c r="J43" s="6">
        <f>I43/C43</f>
        <v>2000</v>
      </c>
    </row>
    <row r="44" spans="1:10" x14ac:dyDescent="0.2">
      <c r="A44" s="2" t="s">
        <v>48</v>
      </c>
      <c r="B44" s="22">
        <v>0</v>
      </c>
      <c r="C44" s="7">
        <v>1</v>
      </c>
      <c r="D44" s="22">
        <v>-1</v>
      </c>
      <c r="E44" s="22">
        <v>0</v>
      </c>
      <c r="F44" s="22">
        <v>0</v>
      </c>
      <c r="G44" s="22">
        <v>1</v>
      </c>
      <c r="H44" s="22">
        <v>0</v>
      </c>
      <c r="I44" s="22">
        <v>500</v>
      </c>
      <c r="J44" s="8">
        <f t="shared" ref="J44:J45" si="0">I44/C44</f>
        <v>500</v>
      </c>
    </row>
    <row r="45" spans="1:10" x14ac:dyDescent="0.2">
      <c r="A45" s="2" t="s">
        <v>49</v>
      </c>
      <c r="B45" s="2">
        <v>5</v>
      </c>
      <c r="C45" s="12">
        <v>10</v>
      </c>
      <c r="D45" s="2">
        <v>0</v>
      </c>
      <c r="E45" s="2">
        <v>-1</v>
      </c>
      <c r="F45" s="2">
        <v>0</v>
      </c>
      <c r="G45" s="2">
        <v>0</v>
      </c>
      <c r="H45" s="2">
        <v>1</v>
      </c>
      <c r="I45" s="2">
        <v>10000</v>
      </c>
      <c r="J45" s="6">
        <f t="shared" si="0"/>
        <v>1000</v>
      </c>
    </row>
    <row r="46" spans="1:10" x14ac:dyDescent="0.2">
      <c r="A46" s="9" t="s">
        <v>51</v>
      </c>
    </row>
    <row r="47" spans="1:10" x14ac:dyDescent="0.2">
      <c r="A47" s="10" t="s">
        <v>52</v>
      </c>
    </row>
    <row r="48" spans="1:10" x14ac:dyDescent="0.2">
      <c r="A48" s="10" t="s">
        <v>56</v>
      </c>
    </row>
    <row r="49" spans="1:10" x14ac:dyDescent="0.2">
      <c r="A49" s="2" t="s">
        <v>38</v>
      </c>
      <c r="B49" s="2" t="s">
        <v>43</v>
      </c>
      <c r="C49" s="2" t="s">
        <v>44</v>
      </c>
      <c r="D49" s="2" t="s">
        <v>45</v>
      </c>
      <c r="E49" s="2" t="s">
        <v>46</v>
      </c>
      <c r="F49" s="2" t="s">
        <v>47</v>
      </c>
      <c r="G49" s="2" t="s">
        <v>48</v>
      </c>
      <c r="H49" s="2" t="s">
        <v>49</v>
      </c>
      <c r="I49" s="2" t="s">
        <v>39</v>
      </c>
    </row>
    <row r="50" spans="1:10" x14ac:dyDescent="0.2">
      <c r="A50" s="2" t="s">
        <v>41</v>
      </c>
      <c r="B50" s="2">
        <f>(C44*B41-B44*C41)/C44</f>
        <v>-250</v>
      </c>
      <c r="C50" s="2">
        <v>0</v>
      </c>
      <c r="D50" s="22">
        <f>(C44*D41-D44*C41)/C44</f>
        <v>-800</v>
      </c>
      <c r="E50" s="2">
        <f>(C44*E41-E44*C41)/C44</f>
        <v>0</v>
      </c>
      <c r="F50" s="2">
        <v>0</v>
      </c>
      <c r="G50" s="2">
        <f>(C44*G41-G44*C41)/C44</f>
        <v>800</v>
      </c>
      <c r="H50" s="2">
        <v>0</v>
      </c>
      <c r="I50" s="2">
        <f>(C44*I41-I44*C41)/C44</f>
        <v>400000</v>
      </c>
    </row>
    <row r="51" spans="1:10" x14ac:dyDescent="0.2">
      <c r="A51" s="2" t="s">
        <v>42</v>
      </c>
      <c r="B51" s="2">
        <f>(C44*B42-B44*C42)/C44</f>
        <v>-5</v>
      </c>
      <c r="C51" s="2">
        <v>0</v>
      </c>
      <c r="D51" s="22">
        <f>(C44*D42-D44*C42)/C44</f>
        <v>-10</v>
      </c>
      <c r="E51" s="2">
        <f>(C44*E42-E44*C42)/C44</f>
        <v>1</v>
      </c>
      <c r="F51" s="2">
        <v>0</v>
      </c>
      <c r="G51" s="2">
        <f>(C44*G42-G44*C42)/C44</f>
        <v>11</v>
      </c>
      <c r="H51" s="2">
        <v>0</v>
      </c>
      <c r="I51" s="5">
        <f>(C44*I42-I44*C42)/C44</f>
        <v>-5000</v>
      </c>
    </row>
    <row r="52" spans="1:10" x14ac:dyDescent="0.2">
      <c r="A52" s="2" t="s">
        <v>47</v>
      </c>
      <c r="B52" s="2">
        <f>(C44*B43-B44*C43)/C44</f>
        <v>4</v>
      </c>
      <c r="C52" s="2">
        <v>0</v>
      </c>
      <c r="D52" s="22">
        <f>(C44*D43-D44*C43)/C44</f>
        <v>6</v>
      </c>
      <c r="E52" s="12">
        <f>(C44*E43-E44*C43)/C44</f>
        <v>0</v>
      </c>
      <c r="F52" s="2">
        <v>1</v>
      </c>
      <c r="G52" s="2">
        <f>(C44*G43-G44*C43)/C44</f>
        <v>-6</v>
      </c>
      <c r="H52" s="2">
        <v>0</v>
      </c>
      <c r="I52" s="2">
        <f>(C44*I43-I44*C43)/C44</f>
        <v>9000</v>
      </c>
      <c r="J52" s="13">
        <f>I52/D52</f>
        <v>1500</v>
      </c>
    </row>
    <row r="53" spans="1:10" x14ac:dyDescent="0.2">
      <c r="A53" s="2" t="s">
        <v>44</v>
      </c>
      <c r="B53" s="12">
        <f>B44/$C$44</f>
        <v>0</v>
      </c>
      <c r="C53" s="2">
        <v>1</v>
      </c>
      <c r="D53" s="22">
        <f>D44/$C$44</f>
        <v>-1</v>
      </c>
      <c r="E53" s="2">
        <f>E44/$C$44</f>
        <v>0</v>
      </c>
      <c r="F53" s="2">
        <v>0</v>
      </c>
      <c r="G53" s="2">
        <f>G44/$C$44</f>
        <v>1</v>
      </c>
      <c r="H53" s="2">
        <v>0</v>
      </c>
      <c r="I53" s="2">
        <f>I44/$C$44</f>
        <v>500</v>
      </c>
      <c r="J53" s="13">
        <f t="shared" ref="J53:J54" si="1">I53/D53</f>
        <v>-500</v>
      </c>
    </row>
    <row r="54" spans="1:10" x14ac:dyDescent="0.2">
      <c r="A54" s="2" t="s">
        <v>49</v>
      </c>
      <c r="B54" s="22">
        <f>(C44*B45-B44*C45)/C44</f>
        <v>5</v>
      </c>
      <c r="C54" s="22">
        <v>0</v>
      </c>
      <c r="D54" s="7">
        <f>(C44*D45-D44*C45)/C44</f>
        <v>10</v>
      </c>
      <c r="E54" s="22">
        <f>(C44*E45-E44*C45)/C44</f>
        <v>-1</v>
      </c>
      <c r="F54" s="22">
        <v>0</v>
      </c>
      <c r="G54" s="22">
        <f>(C44*G45-G44*C45)/C44</f>
        <v>-10</v>
      </c>
      <c r="H54" s="22">
        <v>1</v>
      </c>
      <c r="I54" s="22">
        <f>(C44*I45-I44*C45)/C44</f>
        <v>5000</v>
      </c>
      <c r="J54" s="11">
        <f t="shared" si="1"/>
        <v>500</v>
      </c>
    </row>
    <row r="55" spans="1:10" x14ac:dyDescent="0.2">
      <c r="A55" s="10" t="s">
        <v>67</v>
      </c>
    </row>
    <row r="56" spans="1:10" x14ac:dyDescent="0.2">
      <c r="A56" s="10" t="s">
        <v>53</v>
      </c>
    </row>
    <row r="57" spans="1:10" x14ac:dyDescent="0.2">
      <c r="A57" s="2" t="s">
        <v>38</v>
      </c>
      <c r="B57" s="2" t="s">
        <v>43</v>
      </c>
      <c r="C57" s="2" t="s">
        <v>44</v>
      </c>
      <c r="D57" s="2" t="s">
        <v>45</v>
      </c>
      <c r="E57" s="2" t="s">
        <v>46</v>
      </c>
      <c r="F57" s="2" t="s">
        <v>47</v>
      </c>
      <c r="G57" s="2" t="s">
        <v>48</v>
      </c>
      <c r="H57" s="2" t="s">
        <v>49</v>
      </c>
      <c r="I57" s="2" t="s">
        <v>39</v>
      </c>
    </row>
    <row r="58" spans="1:10" x14ac:dyDescent="0.2">
      <c r="A58" s="2" t="s">
        <v>41</v>
      </c>
      <c r="B58" s="2">
        <f>(D54*B50-B54*D50)/D54</f>
        <v>150</v>
      </c>
      <c r="C58" s="2">
        <v>0</v>
      </c>
      <c r="D58" s="2">
        <v>0</v>
      </c>
      <c r="E58" s="2">
        <f>(D54*B50-B54*D50)/D54</f>
        <v>150</v>
      </c>
      <c r="F58" s="2">
        <v>0</v>
      </c>
      <c r="G58" s="2">
        <f>(D54*G50-G54*D50)/D54</f>
        <v>0</v>
      </c>
      <c r="H58" s="2">
        <f>(D54*H50-H54*D50)/D54</f>
        <v>80</v>
      </c>
      <c r="I58" s="2">
        <f>(D54*I50-I54*D50)/D54</f>
        <v>800000</v>
      </c>
    </row>
    <row r="59" spans="1:10" x14ac:dyDescent="0.2">
      <c r="A59" s="2" t="s">
        <v>42</v>
      </c>
      <c r="B59" s="2">
        <f>(D54*B51-B54*D51)/D54</f>
        <v>0</v>
      </c>
      <c r="C59" s="2">
        <v>0</v>
      </c>
      <c r="D59" s="2">
        <v>0</v>
      </c>
      <c r="E59" s="2">
        <f>(D54*B51-B54*D51)/D54</f>
        <v>0</v>
      </c>
      <c r="F59" s="2">
        <v>0</v>
      </c>
      <c r="G59" s="2">
        <f>(D54*G51-G54*D51)/D54</f>
        <v>1</v>
      </c>
      <c r="H59" s="2">
        <f>(D54*H51-H54*D51)/D54</f>
        <v>1</v>
      </c>
      <c r="I59" s="23">
        <f>(D54*I51-I54*D51)/D54</f>
        <v>0</v>
      </c>
    </row>
    <row r="60" spans="1:10" x14ac:dyDescent="0.2">
      <c r="A60" s="2" t="s">
        <v>47</v>
      </c>
      <c r="B60" s="2">
        <f>(D54*B52-B54*D52)/D54</f>
        <v>1</v>
      </c>
      <c r="C60" s="2">
        <v>0</v>
      </c>
      <c r="D60" s="2">
        <v>0</v>
      </c>
      <c r="E60" s="12">
        <f>(D54*B52-B54*D52)/D54</f>
        <v>1</v>
      </c>
      <c r="F60" s="2">
        <v>1</v>
      </c>
      <c r="G60" s="2">
        <f>(D54*G52-G54*D52)/D54</f>
        <v>0</v>
      </c>
      <c r="H60" s="2">
        <f>(D54*H52-H54*D52)/D54</f>
        <v>-0.6</v>
      </c>
      <c r="I60" s="2">
        <f>(D54*I52-I54*D52)/D54</f>
        <v>6000</v>
      </c>
      <c r="J60" s="13"/>
    </row>
    <row r="61" spans="1:10" x14ac:dyDescent="0.2">
      <c r="A61" s="2" t="s">
        <v>44</v>
      </c>
      <c r="B61" s="2">
        <f>(D54*B53-B54*D53)/D54</f>
        <v>0.5</v>
      </c>
      <c r="C61" s="2">
        <v>1</v>
      </c>
      <c r="D61" s="2">
        <v>0</v>
      </c>
      <c r="E61" s="2">
        <f>(D54*B53-B54*D53)/D54</f>
        <v>0.5</v>
      </c>
      <c r="F61" s="2">
        <v>0</v>
      </c>
      <c r="G61" s="2">
        <f>(D54*G53-G54*D53)/D54</f>
        <v>0</v>
      </c>
      <c r="H61" s="2">
        <f>(D54*H53-H54*D53)/D54</f>
        <v>0.1</v>
      </c>
      <c r="I61" s="2">
        <f>(D54*I53-I54*D53)/D54</f>
        <v>1000</v>
      </c>
      <c r="J61" s="13"/>
    </row>
    <row r="62" spans="1:10" x14ac:dyDescent="0.2">
      <c r="A62" s="2" t="s">
        <v>45</v>
      </c>
      <c r="B62" s="2">
        <f t="shared" ref="B62:F62" si="2">B54/$D$54</f>
        <v>0.5</v>
      </c>
      <c r="C62" s="2">
        <f t="shared" si="2"/>
        <v>0</v>
      </c>
      <c r="D62" s="2">
        <f t="shared" si="2"/>
        <v>1</v>
      </c>
      <c r="E62" s="2">
        <f t="shared" si="2"/>
        <v>-0.1</v>
      </c>
      <c r="F62" s="2">
        <f t="shared" si="2"/>
        <v>0</v>
      </c>
      <c r="G62" s="2">
        <f>G54/$D$54</f>
        <v>-1</v>
      </c>
      <c r="H62" s="2">
        <f t="shared" ref="H62" si="3">H54/$D$54</f>
        <v>0.1</v>
      </c>
      <c r="I62" s="2">
        <f>I54/$D$54</f>
        <v>500</v>
      </c>
      <c r="J62" s="13" t="s">
        <v>68</v>
      </c>
    </row>
    <row r="64" spans="1:10" x14ac:dyDescent="0.2">
      <c r="A64" s="24" t="s">
        <v>69</v>
      </c>
      <c r="B64" s="1"/>
      <c r="C64" s="1"/>
      <c r="D64" s="1"/>
    </row>
    <row r="66" spans="1:15" x14ac:dyDescent="0.2">
      <c r="A66" s="2" t="s">
        <v>38</v>
      </c>
      <c r="B66" s="2" t="s">
        <v>43</v>
      </c>
      <c r="C66" s="2" t="s">
        <v>44</v>
      </c>
      <c r="D66" s="2" t="s">
        <v>45</v>
      </c>
      <c r="E66" s="2" t="s">
        <v>46</v>
      </c>
      <c r="F66" s="2" t="s">
        <v>47</v>
      </c>
      <c r="G66" s="2" t="s">
        <v>48</v>
      </c>
      <c r="H66" s="2" t="s">
        <v>49</v>
      </c>
      <c r="I66" s="2" t="s">
        <v>39</v>
      </c>
    </row>
    <row r="67" spans="1:15" x14ac:dyDescent="0.2">
      <c r="A67" s="2" t="s">
        <v>41</v>
      </c>
      <c r="B67" s="2">
        <v>150</v>
      </c>
      <c r="C67" s="2">
        <v>0</v>
      </c>
      <c r="D67" s="2">
        <v>0</v>
      </c>
      <c r="E67" s="2">
        <v>150</v>
      </c>
      <c r="F67" s="2">
        <v>0</v>
      </c>
      <c r="G67" s="2">
        <v>0</v>
      </c>
      <c r="H67" s="2">
        <v>80</v>
      </c>
      <c r="I67" s="2">
        <v>800000</v>
      </c>
    </row>
    <row r="68" spans="1:15" x14ac:dyDescent="0.2">
      <c r="A68" s="2" t="s">
        <v>47</v>
      </c>
      <c r="B68" s="2">
        <f>(D62*B60-B62*D60)/D62</f>
        <v>1</v>
      </c>
      <c r="C68" s="2">
        <v>0</v>
      </c>
      <c r="D68" s="2">
        <v>0</v>
      </c>
      <c r="E68" s="12">
        <f>(D62*B60-B62*D60)/D62</f>
        <v>1</v>
      </c>
      <c r="F68" s="2">
        <v>1</v>
      </c>
      <c r="G68" s="2">
        <f>(D62*G60-G62*D60)/D62</f>
        <v>0</v>
      </c>
      <c r="H68" s="2">
        <f>(D62*H60-H62*D60)/D62</f>
        <v>-0.6</v>
      </c>
      <c r="I68" s="2">
        <f>(D62*I60-I62*D60)/D62</f>
        <v>6000</v>
      </c>
    </row>
    <row r="69" spans="1:15" x14ac:dyDescent="0.2">
      <c r="A69" s="2" t="s">
        <v>44</v>
      </c>
      <c r="B69" s="2">
        <f>(D62*B61-B62*D61)/D62</f>
        <v>0.5</v>
      </c>
      <c r="C69" s="2">
        <v>1</v>
      </c>
      <c r="D69" s="2">
        <v>0</v>
      </c>
      <c r="E69" s="2">
        <f>(D62*B61-B62*D61)/D62</f>
        <v>0.5</v>
      </c>
      <c r="F69" s="2">
        <v>0</v>
      </c>
      <c r="G69" s="2">
        <f>(D62*G61-G62*D61)/D62</f>
        <v>0</v>
      </c>
      <c r="H69" s="2">
        <f>(D62*H61-H62*D61)/D62</f>
        <v>0.1</v>
      </c>
      <c r="I69" s="2">
        <f>(D62*I61-I62*D61)/D62</f>
        <v>1000</v>
      </c>
    </row>
    <row r="70" spans="1:15" x14ac:dyDescent="0.2">
      <c r="A70" s="2" t="s">
        <v>45</v>
      </c>
      <c r="B70" s="2">
        <v>0.5</v>
      </c>
      <c r="C70" s="2">
        <f t="shared" ref="C70:F70" si="4">C62/$D$54</f>
        <v>0</v>
      </c>
      <c r="D70" s="2">
        <v>1</v>
      </c>
      <c r="E70" s="2">
        <v>-0.1</v>
      </c>
      <c r="F70" s="2">
        <f t="shared" si="4"/>
        <v>0</v>
      </c>
      <c r="G70" s="2">
        <v>-1</v>
      </c>
      <c r="H70" s="2">
        <v>0.1</v>
      </c>
      <c r="I70" s="2">
        <v>500</v>
      </c>
      <c r="J70" t="s">
        <v>70</v>
      </c>
    </row>
    <row r="72" spans="1:15" x14ac:dyDescent="0.2">
      <c r="A72" s="4" t="s">
        <v>39</v>
      </c>
    </row>
    <row r="73" spans="1:15" x14ac:dyDescent="0.2">
      <c r="A73" s="4" t="s">
        <v>71</v>
      </c>
      <c r="B73" t="s">
        <v>77</v>
      </c>
    </row>
    <row r="74" spans="1:15" x14ac:dyDescent="0.2">
      <c r="A74" s="4" t="s">
        <v>72</v>
      </c>
      <c r="B74" t="s">
        <v>78</v>
      </c>
    </row>
    <row r="75" spans="1:15" x14ac:dyDescent="0.2">
      <c r="A75" s="4" t="s">
        <v>73</v>
      </c>
      <c r="B75" t="s">
        <v>76</v>
      </c>
    </row>
    <row r="76" spans="1:15" x14ac:dyDescent="0.2">
      <c r="A76" s="4" t="s">
        <v>74</v>
      </c>
      <c r="B76" t="s">
        <v>79</v>
      </c>
    </row>
    <row r="77" spans="1:15" x14ac:dyDescent="0.2">
      <c r="A77" s="4" t="s">
        <v>75</v>
      </c>
      <c r="B77" t="s">
        <v>80</v>
      </c>
    </row>
    <row r="78" spans="1:15" x14ac:dyDescent="0.2">
      <c r="A78" s="4" t="s">
        <v>84</v>
      </c>
      <c r="B78" t="s">
        <v>81</v>
      </c>
    </row>
    <row r="79" spans="1:15" x14ac:dyDescent="0.2">
      <c r="A79" s="24" t="s">
        <v>82</v>
      </c>
      <c r="B79" s="1"/>
      <c r="C79" s="1"/>
      <c r="D79" t="s">
        <v>116</v>
      </c>
      <c r="O79" t="s">
        <v>115</v>
      </c>
    </row>
    <row r="80" spans="1:15" x14ac:dyDescent="0.2">
      <c r="A80" s="4" t="s">
        <v>83</v>
      </c>
      <c r="O80" t="s">
        <v>111</v>
      </c>
    </row>
    <row r="81" spans="1:18" x14ac:dyDescent="0.2">
      <c r="A81" s="4" t="s">
        <v>85</v>
      </c>
      <c r="O81" t="s">
        <v>113</v>
      </c>
    </row>
    <row r="82" spans="1:18" x14ac:dyDescent="0.2">
      <c r="A82" s="4" t="s">
        <v>86</v>
      </c>
      <c r="O82" t="s">
        <v>112</v>
      </c>
    </row>
    <row r="83" spans="1:18" x14ac:dyDescent="0.2">
      <c r="A83" s="4" t="s">
        <v>87</v>
      </c>
      <c r="O83" t="s">
        <v>114</v>
      </c>
    </row>
    <row r="84" spans="1:18" x14ac:dyDescent="0.2">
      <c r="A84" s="4" t="s">
        <v>88</v>
      </c>
      <c r="O84" t="s">
        <v>120</v>
      </c>
    </row>
    <row r="85" spans="1:18" x14ac:dyDescent="0.2">
      <c r="A85" s="24" t="s">
        <v>89</v>
      </c>
      <c r="B85" s="1"/>
      <c r="C85" s="1"/>
      <c r="D85" s="1"/>
      <c r="O85" s="24" t="s">
        <v>89</v>
      </c>
      <c r="P85" s="1"/>
      <c r="Q85" s="1"/>
      <c r="R85" s="1"/>
    </row>
    <row r="86" spans="1:18" x14ac:dyDescent="0.2">
      <c r="A86" t="s">
        <v>92</v>
      </c>
      <c r="O86" t="s">
        <v>117</v>
      </c>
    </row>
    <row r="87" spans="1:18" x14ac:dyDescent="0.2">
      <c r="A87" s="4" t="s">
        <v>90</v>
      </c>
      <c r="O87" t="s">
        <v>118</v>
      </c>
    </row>
    <row r="88" spans="1:18" x14ac:dyDescent="0.2">
      <c r="A88" s="4" t="s">
        <v>91</v>
      </c>
      <c r="O88" t="s">
        <v>119</v>
      </c>
    </row>
    <row r="89" spans="1:18" x14ac:dyDescent="0.2">
      <c r="B89" t="s">
        <v>123</v>
      </c>
      <c r="P89" t="s">
        <v>121</v>
      </c>
    </row>
    <row r="91" spans="1:18" x14ac:dyDescent="0.2">
      <c r="B91" s="1" t="s">
        <v>122</v>
      </c>
      <c r="C91" s="1"/>
      <c r="D91" t="s">
        <v>93</v>
      </c>
      <c r="P91" s="1" t="s">
        <v>126</v>
      </c>
      <c r="Q91" s="1"/>
    </row>
    <row r="92" spans="1:18" x14ac:dyDescent="0.2">
      <c r="A92" s="1" t="s">
        <v>99</v>
      </c>
      <c r="B92" s="1"/>
      <c r="C92" s="1"/>
      <c r="D92" s="1"/>
      <c r="E92" s="1"/>
      <c r="F92" s="1"/>
      <c r="G92" s="13"/>
      <c r="H92" s="13"/>
    </row>
    <row r="93" spans="1:18" x14ac:dyDescent="0.2">
      <c r="A93" t="s">
        <v>95</v>
      </c>
      <c r="B93" t="s">
        <v>94</v>
      </c>
    </row>
    <row r="94" spans="1:18" x14ac:dyDescent="0.2">
      <c r="A94" t="s">
        <v>100</v>
      </c>
    </row>
    <row r="95" spans="1:18" x14ac:dyDescent="0.2">
      <c r="A95" t="s">
        <v>96</v>
      </c>
    </row>
    <row r="96" spans="1:18" x14ac:dyDescent="0.2">
      <c r="A96" s="1" t="s">
        <v>97</v>
      </c>
    </row>
    <row r="97" spans="1:4" x14ac:dyDescent="0.2">
      <c r="A97" t="s">
        <v>98</v>
      </c>
    </row>
    <row r="98" spans="1:4" x14ac:dyDescent="0.2">
      <c r="A98" t="s">
        <v>101</v>
      </c>
    </row>
    <row r="99" spans="1:4" x14ac:dyDescent="0.2">
      <c r="B99" t="s">
        <v>124</v>
      </c>
    </row>
    <row r="100" spans="1:4" x14ac:dyDescent="0.2">
      <c r="B100" s="1" t="s">
        <v>125</v>
      </c>
      <c r="C100" s="1"/>
      <c r="D100" t="s">
        <v>102</v>
      </c>
    </row>
    <row r="102" spans="1:4" x14ac:dyDescent="0.2">
      <c r="A102" s="1" t="s">
        <v>103</v>
      </c>
      <c r="B102" s="1"/>
    </row>
    <row r="113" spans="12:17" x14ac:dyDescent="0.2">
      <c r="Q113" t="s">
        <v>109</v>
      </c>
    </row>
    <row r="121" spans="12:17" x14ac:dyDescent="0.2">
      <c r="L121" s="13" t="s">
        <v>104</v>
      </c>
      <c r="M121" s="13">
        <v>650000</v>
      </c>
      <c r="N121" t="s">
        <v>106</v>
      </c>
    </row>
    <row r="122" spans="12:17" x14ac:dyDescent="0.2">
      <c r="L122" t="s">
        <v>105</v>
      </c>
      <c r="M122">
        <v>800000</v>
      </c>
    </row>
    <row r="123" spans="12:17" x14ac:dyDescent="0.2">
      <c r="L123" t="s">
        <v>110</v>
      </c>
      <c r="M123">
        <v>962500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7вариант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2025-09-18T15:42:14Z</dcterms:created>
  <dcterms:modified xsi:type="dcterms:W3CDTF">2026-01-12T16:20:37Z</dcterms:modified>
</cp:coreProperties>
</file>