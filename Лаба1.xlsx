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rtem\OneDrive\Документы\саиио\"/>
    </mc:Choice>
  </mc:AlternateContent>
  <xr:revisionPtr revIDLastSave="0" documentId="13_ncr:1_{3FAA1270-40A1-4EF6-91C4-A67A73AA1D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Таблички" sheetId="2" r:id="rId1"/>
    <sheet name="Формулы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5" i="2" l="1"/>
  <c r="E91" i="2"/>
  <c r="G79" i="2"/>
  <c r="F71" i="2"/>
  <c r="G71" i="2"/>
  <c r="H71" i="2"/>
  <c r="H79" i="2" s="1"/>
  <c r="E92" i="2" s="1"/>
  <c r="E71" i="2"/>
  <c r="E79" i="2" s="1"/>
  <c r="G59" i="2"/>
  <c r="G56" i="2"/>
  <c r="G53" i="2"/>
  <c r="G51" i="2"/>
  <c r="H51" i="2"/>
  <c r="I51" i="2"/>
  <c r="F51" i="2"/>
  <c r="H47" i="2"/>
  <c r="I47" i="2"/>
  <c r="J47" i="2"/>
  <c r="G47" i="2"/>
  <c r="G43" i="2"/>
  <c r="H42" i="2"/>
  <c r="I42" i="2"/>
  <c r="J42" i="2"/>
  <c r="G42" i="2"/>
  <c r="G18" i="2"/>
  <c r="G17" i="2"/>
  <c r="G16" i="2"/>
  <c r="G15" i="2"/>
  <c r="H9" i="2"/>
  <c r="H10" i="2"/>
  <c r="H8" i="2"/>
  <c r="H7" i="2"/>
  <c r="E89" i="2" l="1"/>
  <c r="E74" i="2"/>
  <c r="G76" i="2" s="1"/>
  <c r="F79" i="2"/>
  <c r="E90" i="2" s="1"/>
  <c r="E86" i="2"/>
  <c r="E87" i="2"/>
  <c r="H11" i="2"/>
  <c r="K8" i="2" s="1"/>
  <c r="K9" i="2"/>
  <c r="H76" i="2" l="1"/>
  <c r="E76" i="2"/>
  <c r="F76" i="2"/>
  <c r="K10" i="2"/>
  <c r="K7" i="2"/>
  <c r="J15" i="2" s="1"/>
  <c r="J16" i="2" s="1"/>
  <c r="G22" i="2" s="1"/>
</calcChain>
</file>

<file path=xl/sharedStrings.xml><?xml version="1.0" encoding="utf-8"?>
<sst xmlns="http://schemas.openxmlformats.org/spreadsheetml/2006/main" count="53" uniqueCount="27">
  <si>
    <t>А1</t>
  </si>
  <si>
    <t>А2</t>
  </si>
  <si>
    <t>А3</t>
  </si>
  <si>
    <t>А4</t>
  </si>
  <si>
    <t>С</t>
  </si>
  <si>
    <t>λ</t>
  </si>
  <si>
    <t>ИС</t>
  </si>
  <si>
    <t>CлС = 0,9</t>
  </si>
  <si>
    <t>ОС = ИС / СлС</t>
  </si>
  <si>
    <t>Эксперты</t>
  </si>
  <si>
    <t>Возможности</t>
  </si>
  <si>
    <t>W</t>
  </si>
  <si>
    <t>W&gt;0,5, поэтому степень огласованности экспертных оценок может считаться достаточной.</t>
  </si>
  <si>
    <t>Метод предпочтений</t>
  </si>
  <si>
    <t>Метод Саати</t>
  </si>
  <si>
    <t>Метод Ранга</t>
  </si>
  <si>
    <t>СлС</t>
  </si>
  <si>
    <t>ОС</t>
  </si>
  <si>
    <t>Проверка на противоречивость</t>
  </si>
  <si>
    <t>Проверка согласованности</t>
  </si>
  <si>
    <t>построить предприятие по переработке отходов</t>
  </si>
  <si>
    <t>построить сооружения для захоронения отходов</t>
  </si>
  <si>
    <t>перепрофилировать комбинат</t>
  </si>
  <si>
    <t>ИС=(λ-N)/(N-1</t>
  </si>
  <si>
    <t>А</t>
  </si>
  <si>
    <t>S</t>
  </si>
  <si>
    <t>заключить договор о вывозе
переработке отходов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</si>
</sst>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9"/>
      <color theme="1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vertical="center" textRotation="180"/>
    </xf>
    <xf numFmtId="12" fontId="0" fillId="0" borderId="1" xfId="0" applyNumberFormat="1" applyBorder="1" applyAlignment="1">
      <alignment horizontal="center" vertical="center"/>
    </xf>
    <xf numFmtId="2" fontId="0" fillId="0" borderId="1" xfId="0" applyNumberFormat="1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top" wrapText="1"/>
    </xf>
    <xf numFmtId="0" fontId="0" fillId="0" borderId="0" xfId="0" applyBorder="1" applyAlignment="1">
      <alignment vertical="center"/>
    </xf>
    <xf numFmtId="0" fontId="0" fillId="0" borderId="1" xfId="0" applyNumberFormat="1" applyBorder="1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 textRotation="180" wrapText="1"/>
    </xf>
    <xf numFmtId="0" fontId="3" fillId="0" borderId="0" xfId="0" applyFont="1" applyBorder="1" applyAlignment="1">
      <alignment vertical="center" textRotation="180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30480</xdr:colOff>
      <xdr:row>6</xdr:row>
      <xdr:rowOff>11430</xdr:rowOff>
    </xdr:from>
    <xdr:ext cx="17338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71B1C2C-8855-4024-8ED2-19103B2F068E}"/>
                </a:ext>
              </a:extLst>
            </xdr:cNvPr>
            <xdr:cNvSpPr txBox="1"/>
          </xdr:nvSpPr>
          <xdr:spPr>
            <a:xfrm>
              <a:off x="4472940" y="1832610"/>
              <a:ext cx="1733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С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71B1C2C-8855-4024-8ED2-19103B2F068E}"/>
                </a:ext>
              </a:extLst>
            </xdr:cNvPr>
            <xdr:cNvSpPr txBox="1"/>
          </xdr:nvSpPr>
          <xdr:spPr>
            <a:xfrm>
              <a:off x="4472940" y="1832610"/>
              <a:ext cx="1733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b="0" i="0">
                  <a:latin typeface="Cambria Math" panose="02040503050406030204" pitchFamily="18" charset="0"/>
                </a:rPr>
                <a:t>С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30480</xdr:colOff>
      <xdr:row>7</xdr:row>
      <xdr:rowOff>11430</xdr:rowOff>
    </xdr:from>
    <xdr:ext cx="1766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886EED8-11C5-4728-AA73-4902CF5EC4A6}"/>
                </a:ext>
              </a:extLst>
            </xdr:cNvPr>
            <xdr:cNvSpPr txBox="1"/>
          </xdr:nvSpPr>
          <xdr:spPr>
            <a:xfrm>
              <a:off x="4472940" y="2015490"/>
              <a:ext cx="1766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С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886EED8-11C5-4728-AA73-4902CF5EC4A6}"/>
                </a:ext>
              </a:extLst>
            </xdr:cNvPr>
            <xdr:cNvSpPr txBox="1"/>
          </xdr:nvSpPr>
          <xdr:spPr>
            <a:xfrm>
              <a:off x="4472940" y="2015490"/>
              <a:ext cx="1766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b="0" i="0">
                  <a:latin typeface="Cambria Math" panose="02040503050406030204" pitchFamily="18" charset="0"/>
                </a:rPr>
                <a:t>С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30480</xdr:colOff>
      <xdr:row>8</xdr:row>
      <xdr:rowOff>11430</xdr:rowOff>
    </xdr:from>
    <xdr:ext cx="1766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46C03D6-889B-4E23-952B-B7B03DC837C1}"/>
                </a:ext>
              </a:extLst>
            </xdr:cNvPr>
            <xdr:cNvSpPr txBox="1"/>
          </xdr:nvSpPr>
          <xdr:spPr>
            <a:xfrm>
              <a:off x="4472940" y="2198370"/>
              <a:ext cx="1766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С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46C03D6-889B-4E23-952B-B7B03DC837C1}"/>
                </a:ext>
              </a:extLst>
            </xdr:cNvPr>
            <xdr:cNvSpPr txBox="1"/>
          </xdr:nvSpPr>
          <xdr:spPr>
            <a:xfrm>
              <a:off x="4472940" y="2198370"/>
              <a:ext cx="1766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b="0" i="0">
                  <a:latin typeface="Cambria Math" panose="02040503050406030204" pitchFamily="18" charset="0"/>
                </a:rPr>
                <a:t>С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3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30480</xdr:colOff>
      <xdr:row>9</xdr:row>
      <xdr:rowOff>11430</xdr:rowOff>
    </xdr:from>
    <xdr:ext cx="1766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0E9C962-A5C2-49F2-AFD5-3BA2EECBFEEA}"/>
                </a:ext>
              </a:extLst>
            </xdr:cNvPr>
            <xdr:cNvSpPr txBox="1"/>
          </xdr:nvSpPr>
          <xdr:spPr>
            <a:xfrm>
              <a:off x="4472940" y="2381250"/>
              <a:ext cx="1766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С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0E9C962-A5C2-49F2-AFD5-3BA2EECBFEEA}"/>
                </a:ext>
              </a:extLst>
            </xdr:cNvPr>
            <xdr:cNvSpPr txBox="1"/>
          </xdr:nvSpPr>
          <xdr:spPr>
            <a:xfrm>
              <a:off x="4472940" y="2381250"/>
              <a:ext cx="1766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b="0" i="0">
                  <a:latin typeface="Cambria Math" panose="02040503050406030204" pitchFamily="18" charset="0"/>
                </a:rPr>
                <a:t>С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4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30480</xdr:colOff>
      <xdr:row>9</xdr:row>
      <xdr:rowOff>15240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ECACD44-B2BC-4D76-A7F6-818B7751F8DD}"/>
            </a:ext>
          </a:extLst>
        </xdr:cNvPr>
        <xdr:cNvSpPr txBox="1"/>
      </xdr:nvSpPr>
      <xdr:spPr>
        <a:xfrm>
          <a:off x="5692140" y="23850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30480</xdr:colOff>
      <xdr:row>6</xdr:row>
      <xdr:rowOff>15240</xdr:rowOff>
    </xdr:from>
    <xdr:ext cx="16350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687D630-7DA5-406C-BF84-E15F3D4AF643}"/>
                </a:ext>
              </a:extLst>
            </xdr:cNvPr>
            <xdr:cNvSpPr txBox="1"/>
          </xdr:nvSpPr>
          <xdr:spPr>
            <a:xfrm>
              <a:off x="6301740" y="1836420"/>
              <a:ext cx="16350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687D630-7DA5-406C-BF84-E15F3D4AF643}"/>
                </a:ext>
              </a:extLst>
            </xdr:cNvPr>
            <xdr:cNvSpPr txBox="1"/>
          </xdr:nvSpPr>
          <xdr:spPr>
            <a:xfrm>
              <a:off x="6301740" y="1836420"/>
              <a:ext cx="16350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𝑉_</a:t>
              </a:r>
              <a:r>
                <a:rPr lang="ru-RU" sz="1100" b="0" i="0">
                  <a:latin typeface="Cambria Math" panose="02040503050406030204" pitchFamily="18" charset="0"/>
                </a:rPr>
                <a:t>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30480</xdr:colOff>
      <xdr:row>7</xdr:row>
      <xdr:rowOff>15240</xdr:rowOff>
    </xdr:from>
    <xdr:ext cx="16677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355F2DD-06E4-4825-994E-EB59FA59B153}"/>
                </a:ext>
              </a:extLst>
            </xdr:cNvPr>
            <xdr:cNvSpPr txBox="1"/>
          </xdr:nvSpPr>
          <xdr:spPr>
            <a:xfrm>
              <a:off x="6301740" y="2019300"/>
              <a:ext cx="1667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355F2DD-06E4-4825-994E-EB59FA59B153}"/>
                </a:ext>
              </a:extLst>
            </xdr:cNvPr>
            <xdr:cNvSpPr txBox="1"/>
          </xdr:nvSpPr>
          <xdr:spPr>
            <a:xfrm>
              <a:off x="6301740" y="2019300"/>
              <a:ext cx="1667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𝑉_2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30480</xdr:colOff>
      <xdr:row>8</xdr:row>
      <xdr:rowOff>15240</xdr:rowOff>
    </xdr:from>
    <xdr:ext cx="16677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4777688-7C27-4DDC-85CC-65583D43C553}"/>
                </a:ext>
              </a:extLst>
            </xdr:cNvPr>
            <xdr:cNvSpPr txBox="1"/>
          </xdr:nvSpPr>
          <xdr:spPr>
            <a:xfrm>
              <a:off x="6301740" y="2202180"/>
              <a:ext cx="1667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4777688-7C27-4DDC-85CC-65583D43C553}"/>
                </a:ext>
              </a:extLst>
            </xdr:cNvPr>
            <xdr:cNvSpPr txBox="1"/>
          </xdr:nvSpPr>
          <xdr:spPr>
            <a:xfrm>
              <a:off x="6301740" y="2202180"/>
              <a:ext cx="1667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𝑉_3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30480</xdr:colOff>
      <xdr:row>9</xdr:row>
      <xdr:rowOff>15240</xdr:rowOff>
    </xdr:from>
    <xdr:ext cx="16075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303EBE1-69B2-4C01-B60B-630BBB403F1C}"/>
                </a:ext>
              </a:extLst>
            </xdr:cNvPr>
            <xdr:cNvSpPr txBox="1"/>
          </xdr:nvSpPr>
          <xdr:spPr>
            <a:xfrm>
              <a:off x="6301740" y="2385060"/>
              <a:ext cx="16075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303EBE1-69B2-4C01-B60B-630BBB403F1C}"/>
                </a:ext>
              </a:extLst>
            </xdr:cNvPr>
            <xdr:cNvSpPr txBox="1"/>
          </xdr:nvSpPr>
          <xdr:spPr>
            <a:xfrm>
              <a:off x="6301740" y="2385060"/>
              <a:ext cx="16075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𝑉_4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68580</xdr:colOff>
      <xdr:row>14</xdr:row>
      <xdr:rowOff>0</xdr:rowOff>
    </xdr:from>
    <xdr:ext cx="18146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F8AD6A4-9809-45BC-9DAF-064B350BA272}"/>
                </a:ext>
              </a:extLst>
            </xdr:cNvPr>
            <xdr:cNvSpPr txBox="1"/>
          </xdr:nvSpPr>
          <xdr:spPr>
            <a:xfrm>
              <a:off x="4511040" y="4198620"/>
              <a:ext cx="1814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F8AD6A4-9809-45BC-9DAF-064B350BA272}"/>
                </a:ext>
              </a:extLst>
            </xdr:cNvPr>
            <xdr:cNvSpPr txBox="1"/>
          </xdr:nvSpPr>
          <xdr:spPr>
            <a:xfrm>
              <a:off x="4511040" y="4198620"/>
              <a:ext cx="1814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𝑅_</a:t>
              </a:r>
              <a:r>
                <a:rPr lang="ru-RU" sz="1100" b="0" i="0">
                  <a:latin typeface="Cambria Math" panose="02040503050406030204" pitchFamily="18" charset="0"/>
                </a:rPr>
                <a:t>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68580</xdr:colOff>
      <xdr:row>15</xdr:row>
      <xdr:rowOff>0</xdr:rowOff>
    </xdr:from>
    <xdr:ext cx="1847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9285697-1B08-441D-BC4E-B220E9DBC8CA}"/>
                </a:ext>
              </a:extLst>
            </xdr:cNvPr>
            <xdr:cNvSpPr txBox="1"/>
          </xdr:nvSpPr>
          <xdr:spPr>
            <a:xfrm>
              <a:off x="4511040" y="4381500"/>
              <a:ext cx="184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9285697-1B08-441D-BC4E-B220E9DBC8CA}"/>
                </a:ext>
              </a:extLst>
            </xdr:cNvPr>
            <xdr:cNvSpPr txBox="1"/>
          </xdr:nvSpPr>
          <xdr:spPr>
            <a:xfrm>
              <a:off x="4511040" y="4381500"/>
              <a:ext cx="184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𝑅_2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68580</xdr:colOff>
      <xdr:row>16</xdr:row>
      <xdr:rowOff>0</xdr:rowOff>
    </xdr:from>
    <xdr:ext cx="1847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D733D09-E416-4385-8A77-B690DD5F6139}"/>
                </a:ext>
              </a:extLst>
            </xdr:cNvPr>
            <xdr:cNvSpPr txBox="1"/>
          </xdr:nvSpPr>
          <xdr:spPr>
            <a:xfrm>
              <a:off x="4511040" y="4564380"/>
              <a:ext cx="184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D733D09-E416-4385-8A77-B690DD5F6139}"/>
                </a:ext>
              </a:extLst>
            </xdr:cNvPr>
            <xdr:cNvSpPr txBox="1"/>
          </xdr:nvSpPr>
          <xdr:spPr>
            <a:xfrm>
              <a:off x="4511040" y="4564380"/>
              <a:ext cx="184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𝑅_3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68580</xdr:colOff>
      <xdr:row>17</xdr:row>
      <xdr:rowOff>0</xdr:rowOff>
    </xdr:from>
    <xdr:ext cx="1847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0BE93482-4DDB-4340-A31A-02C767616144}"/>
                </a:ext>
              </a:extLst>
            </xdr:cNvPr>
            <xdr:cNvSpPr txBox="1"/>
          </xdr:nvSpPr>
          <xdr:spPr>
            <a:xfrm>
              <a:off x="4511040" y="4747260"/>
              <a:ext cx="184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0BE93482-4DDB-4340-A31A-02C767616144}"/>
                </a:ext>
              </a:extLst>
            </xdr:cNvPr>
            <xdr:cNvSpPr txBox="1"/>
          </xdr:nvSpPr>
          <xdr:spPr>
            <a:xfrm>
              <a:off x="4511040" y="4747260"/>
              <a:ext cx="184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𝑅_4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251460</xdr:colOff>
      <xdr:row>40</xdr:row>
      <xdr:rowOff>171450</xdr:rowOff>
    </xdr:from>
    <xdr:ext cx="152991" cy="183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195769D-974C-4191-B51C-22FD0F9C1A24}"/>
                </a:ext>
              </a:extLst>
            </xdr:cNvPr>
            <xdr:cNvSpPr txBox="1"/>
          </xdr:nvSpPr>
          <xdr:spPr>
            <a:xfrm>
              <a:off x="3893820" y="7486650"/>
              <a:ext cx="152991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195769D-974C-4191-B51C-22FD0F9C1A24}"/>
                </a:ext>
              </a:extLst>
            </xdr:cNvPr>
            <xdr:cNvSpPr txBox="1"/>
          </xdr:nvSpPr>
          <xdr:spPr>
            <a:xfrm>
              <a:off x="3893820" y="7486650"/>
              <a:ext cx="152991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236220</xdr:colOff>
      <xdr:row>45</xdr:row>
      <xdr:rowOff>179070</xdr:rowOff>
    </xdr:from>
    <xdr:ext cx="146579" cy="183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71B6EB2-26F5-41C6-86AE-B21C22F7D629}"/>
                </a:ext>
              </a:extLst>
            </xdr:cNvPr>
            <xdr:cNvSpPr txBox="1"/>
          </xdr:nvSpPr>
          <xdr:spPr>
            <a:xfrm>
              <a:off x="3878580" y="8408670"/>
              <a:ext cx="146579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71B6EB2-26F5-41C6-86AE-B21C22F7D629}"/>
                </a:ext>
              </a:extLst>
            </xdr:cNvPr>
            <xdr:cNvSpPr txBox="1"/>
          </xdr:nvSpPr>
          <xdr:spPr>
            <a:xfrm>
              <a:off x="3878580" y="8408670"/>
              <a:ext cx="146579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𝑉_𝑗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68580</xdr:colOff>
      <xdr:row>49</xdr:row>
      <xdr:rowOff>19050</xdr:rowOff>
    </xdr:from>
    <xdr:ext cx="16241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7C72A43-9D7B-4383-A5FB-F0F14AA25383}"/>
                </a:ext>
              </a:extLst>
            </xdr:cNvPr>
            <xdr:cNvSpPr txBox="1"/>
          </xdr:nvSpPr>
          <xdr:spPr>
            <a:xfrm>
              <a:off x="3710940" y="8980170"/>
              <a:ext cx="1624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7C72A43-9D7B-4383-A5FB-F0F14AA25383}"/>
                </a:ext>
              </a:extLst>
            </xdr:cNvPr>
            <xdr:cNvSpPr txBox="1"/>
          </xdr:nvSpPr>
          <xdr:spPr>
            <a:xfrm>
              <a:off x="3710940" y="8980170"/>
              <a:ext cx="1624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30480</xdr:colOff>
      <xdr:row>49</xdr:row>
      <xdr:rowOff>19050</xdr:rowOff>
    </xdr:from>
    <xdr:ext cx="16568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C7A2A57-CA6B-40F0-9313-A0E003B710D9}"/>
                </a:ext>
              </a:extLst>
            </xdr:cNvPr>
            <xdr:cNvSpPr txBox="1"/>
          </xdr:nvSpPr>
          <xdr:spPr>
            <a:xfrm>
              <a:off x="5692140" y="11167110"/>
              <a:ext cx="1656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C7A2A57-CA6B-40F0-9313-A0E003B710D9}"/>
                </a:ext>
              </a:extLst>
            </xdr:cNvPr>
            <xdr:cNvSpPr txBox="1"/>
          </xdr:nvSpPr>
          <xdr:spPr>
            <a:xfrm>
              <a:off x="5692140" y="11167110"/>
              <a:ext cx="1656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30480</xdr:colOff>
      <xdr:row>49</xdr:row>
      <xdr:rowOff>11430</xdr:rowOff>
    </xdr:from>
    <xdr:ext cx="16568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34700C66-BBBE-4B24-BE77-B11A41EC0A87}"/>
                </a:ext>
              </a:extLst>
            </xdr:cNvPr>
            <xdr:cNvSpPr txBox="1"/>
          </xdr:nvSpPr>
          <xdr:spPr>
            <a:xfrm>
              <a:off x="6301740" y="11159490"/>
              <a:ext cx="1656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34700C66-BBBE-4B24-BE77-B11A41EC0A87}"/>
                </a:ext>
              </a:extLst>
            </xdr:cNvPr>
            <xdr:cNvSpPr txBox="1"/>
          </xdr:nvSpPr>
          <xdr:spPr>
            <a:xfrm>
              <a:off x="6301740" y="11159490"/>
              <a:ext cx="1656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𝑆_3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60960</xdr:colOff>
      <xdr:row>49</xdr:row>
      <xdr:rowOff>19050</xdr:rowOff>
    </xdr:from>
    <xdr:ext cx="16568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D449A99-55FF-4B6A-9401-28E5EF75BEC6}"/>
                </a:ext>
              </a:extLst>
            </xdr:cNvPr>
            <xdr:cNvSpPr txBox="1"/>
          </xdr:nvSpPr>
          <xdr:spPr>
            <a:xfrm>
              <a:off x="6941820" y="11167110"/>
              <a:ext cx="1656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D449A99-55FF-4B6A-9401-28E5EF75BEC6}"/>
                </a:ext>
              </a:extLst>
            </xdr:cNvPr>
            <xdr:cNvSpPr txBox="1"/>
          </xdr:nvSpPr>
          <xdr:spPr>
            <a:xfrm>
              <a:off x="6941820" y="11167110"/>
              <a:ext cx="1656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𝑆_4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99060</xdr:colOff>
      <xdr:row>49</xdr:row>
      <xdr:rowOff>19050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9848BF7-1486-43F4-9C9C-2D1EC57EC4E9}"/>
            </a:ext>
          </a:extLst>
        </xdr:cNvPr>
        <xdr:cNvSpPr txBox="1"/>
      </xdr:nvSpPr>
      <xdr:spPr>
        <a:xfrm>
          <a:off x="6979920" y="111671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22860</xdr:colOff>
      <xdr:row>49</xdr:row>
      <xdr:rowOff>49530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AC56A8B-D063-4640-A5CF-0E420E660714}"/>
            </a:ext>
          </a:extLst>
        </xdr:cNvPr>
        <xdr:cNvSpPr txBox="1"/>
      </xdr:nvSpPr>
      <xdr:spPr>
        <a:xfrm>
          <a:off x="5684520" y="11197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22860</xdr:colOff>
      <xdr:row>49</xdr:row>
      <xdr:rowOff>49530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8FC31ED-4CEC-4D02-9C9A-50A03874E51A}"/>
            </a:ext>
          </a:extLst>
        </xdr:cNvPr>
        <xdr:cNvSpPr txBox="1"/>
      </xdr:nvSpPr>
      <xdr:spPr>
        <a:xfrm>
          <a:off x="6294120" y="11197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22860</xdr:colOff>
      <xdr:row>49</xdr:row>
      <xdr:rowOff>49530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2B42733-D168-4BB6-9A66-F5680B52F54E}"/>
            </a:ext>
          </a:extLst>
        </xdr:cNvPr>
        <xdr:cNvSpPr txBox="1"/>
      </xdr:nvSpPr>
      <xdr:spPr>
        <a:xfrm>
          <a:off x="6903720" y="11197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243840</xdr:colOff>
      <xdr:row>70</xdr:row>
      <xdr:rowOff>118110</xdr:rowOff>
    </xdr:from>
    <xdr:ext cx="152991" cy="183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7FD887FE-6A86-4C3A-AD4E-7C93E4D27939}"/>
                </a:ext>
              </a:extLst>
            </xdr:cNvPr>
            <xdr:cNvSpPr txBox="1"/>
          </xdr:nvSpPr>
          <xdr:spPr>
            <a:xfrm>
              <a:off x="4686300" y="15289530"/>
              <a:ext cx="152991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7FD887FE-6A86-4C3A-AD4E-7C93E4D27939}"/>
                </a:ext>
              </a:extLst>
            </xdr:cNvPr>
            <xdr:cNvSpPr txBox="1"/>
          </xdr:nvSpPr>
          <xdr:spPr>
            <a:xfrm>
              <a:off x="4686300" y="15289530"/>
              <a:ext cx="152991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205740</xdr:colOff>
      <xdr:row>75</xdr:row>
      <xdr:rowOff>26670</xdr:rowOff>
    </xdr:from>
    <xdr:ext cx="146579" cy="183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9E0174E3-3F3B-443B-ABF6-EA86F45FF2B3}"/>
                </a:ext>
              </a:extLst>
            </xdr:cNvPr>
            <xdr:cNvSpPr txBox="1"/>
          </xdr:nvSpPr>
          <xdr:spPr>
            <a:xfrm>
              <a:off x="4648200" y="16295370"/>
              <a:ext cx="146579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9E0174E3-3F3B-443B-ABF6-EA86F45FF2B3}"/>
                </a:ext>
              </a:extLst>
            </xdr:cNvPr>
            <xdr:cNvSpPr txBox="1"/>
          </xdr:nvSpPr>
          <xdr:spPr>
            <a:xfrm>
              <a:off x="4648200" y="16295370"/>
              <a:ext cx="146579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𝑉_𝑗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144780</xdr:colOff>
      <xdr:row>79</xdr:row>
      <xdr:rowOff>99060</xdr:rowOff>
    </xdr:from>
    <xdr:ext cx="391646" cy="1946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8D71413A-0671-460E-93DC-C08501DF84F8}"/>
                </a:ext>
              </a:extLst>
            </xdr:cNvPr>
            <xdr:cNvSpPr txBox="1"/>
          </xdr:nvSpPr>
          <xdr:spPr>
            <a:xfrm>
              <a:off x="4587240" y="16916400"/>
              <a:ext cx="391646" cy="1946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8D71413A-0671-460E-93DC-C08501DF84F8}"/>
                </a:ext>
              </a:extLst>
            </xdr:cNvPr>
            <xdr:cNvSpPr txBox="1"/>
          </xdr:nvSpPr>
          <xdr:spPr>
            <a:xfrm>
              <a:off x="4587240" y="16916400"/>
              <a:ext cx="391646" cy="1946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𝑋 ̅_𝑗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182880</xdr:colOff>
      <xdr:row>83</xdr:row>
      <xdr:rowOff>179070</xdr:rowOff>
    </xdr:from>
    <xdr:ext cx="23506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BA4C69E2-90E1-4F45-A7A8-BECF7C42E226}"/>
                </a:ext>
              </a:extLst>
            </xdr:cNvPr>
            <xdr:cNvSpPr txBox="1"/>
          </xdr:nvSpPr>
          <xdr:spPr>
            <a:xfrm>
              <a:off x="4625340" y="17545050"/>
              <a:ext cx="23506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э1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BA4C69E2-90E1-4F45-A7A8-BECF7C42E226}"/>
                </a:ext>
              </a:extLst>
            </xdr:cNvPr>
            <xdr:cNvSpPr txBox="1"/>
          </xdr:nvSpPr>
          <xdr:spPr>
            <a:xfrm>
              <a:off x="4625340" y="17545050"/>
              <a:ext cx="23506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𝐷_</a:t>
              </a:r>
              <a:r>
                <a:rPr lang="ru-RU" sz="1100" b="0" i="0">
                  <a:latin typeface="Cambria Math" panose="02040503050406030204" pitchFamily="18" charset="0"/>
                </a:rPr>
                <a:t>э1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182880</xdr:colOff>
      <xdr:row>84</xdr:row>
      <xdr:rowOff>179070</xdr:rowOff>
    </xdr:from>
    <xdr:ext cx="23506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FF511D8-D5E4-4A0D-B299-2E5DB0319532}"/>
                </a:ext>
              </a:extLst>
            </xdr:cNvPr>
            <xdr:cNvSpPr txBox="1"/>
          </xdr:nvSpPr>
          <xdr:spPr>
            <a:xfrm>
              <a:off x="4625340" y="17727930"/>
              <a:ext cx="23506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э2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FF511D8-D5E4-4A0D-B299-2E5DB0319532}"/>
                </a:ext>
              </a:extLst>
            </xdr:cNvPr>
            <xdr:cNvSpPr txBox="1"/>
          </xdr:nvSpPr>
          <xdr:spPr>
            <a:xfrm>
              <a:off x="4625340" y="17727930"/>
              <a:ext cx="23506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𝐷_</a:t>
              </a:r>
              <a:r>
                <a:rPr lang="ru-RU" sz="1100" b="0" i="0">
                  <a:latin typeface="Cambria Math" panose="02040503050406030204" pitchFamily="18" charset="0"/>
                </a:rPr>
                <a:t>э2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182880</xdr:colOff>
      <xdr:row>85</xdr:row>
      <xdr:rowOff>179070</xdr:rowOff>
    </xdr:from>
    <xdr:ext cx="23506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470F0002-C6A6-4023-80A5-525AC64E23BD}"/>
                </a:ext>
              </a:extLst>
            </xdr:cNvPr>
            <xdr:cNvSpPr txBox="1"/>
          </xdr:nvSpPr>
          <xdr:spPr>
            <a:xfrm>
              <a:off x="4625340" y="17910810"/>
              <a:ext cx="23506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э3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470F0002-C6A6-4023-80A5-525AC64E23BD}"/>
                </a:ext>
              </a:extLst>
            </xdr:cNvPr>
            <xdr:cNvSpPr txBox="1"/>
          </xdr:nvSpPr>
          <xdr:spPr>
            <a:xfrm>
              <a:off x="4625340" y="17910810"/>
              <a:ext cx="23506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𝐷_</a:t>
              </a:r>
              <a:r>
                <a:rPr lang="ru-RU" sz="1100" b="0" i="0">
                  <a:latin typeface="Cambria Math" panose="02040503050406030204" pitchFamily="18" charset="0"/>
                </a:rPr>
                <a:t>э3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182880</xdr:colOff>
      <xdr:row>86</xdr:row>
      <xdr:rowOff>179070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F39FA3C-BC92-4187-B9F6-34F0E3BDCA15}"/>
            </a:ext>
          </a:extLst>
        </xdr:cNvPr>
        <xdr:cNvSpPr txBox="1"/>
      </xdr:nvSpPr>
      <xdr:spPr>
        <a:xfrm>
          <a:off x="4625340" y="180936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228600</xdr:colOff>
      <xdr:row>88</xdr:row>
      <xdr:rowOff>0</xdr:rowOff>
    </xdr:from>
    <xdr:ext cx="23692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908C096F-330D-44DC-99B6-F30593B73E34}"/>
                </a:ext>
              </a:extLst>
            </xdr:cNvPr>
            <xdr:cNvSpPr txBox="1"/>
          </xdr:nvSpPr>
          <xdr:spPr>
            <a:xfrm>
              <a:off x="4671060" y="18463260"/>
              <a:ext cx="23692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а1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908C096F-330D-44DC-99B6-F30593B73E34}"/>
                </a:ext>
              </a:extLst>
            </xdr:cNvPr>
            <xdr:cNvSpPr txBox="1"/>
          </xdr:nvSpPr>
          <xdr:spPr>
            <a:xfrm>
              <a:off x="4671060" y="18463260"/>
              <a:ext cx="23692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𝐷_</a:t>
              </a:r>
              <a:r>
                <a:rPr lang="ru-RU" sz="1100" b="0" i="0">
                  <a:latin typeface="Cambria Math" panose="02040503050406030204" pitchFamily="18" charset="0"/>
                </a:rPr>
                <a:t>а1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228600</xdr:colOff>
      <xdr:row>89</xdr:row>
      <xdr:rowOff>0</xdr:rowOff>
    </xdr:from>
    <xdr:ext cx="23692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2031A814-3D9A-4AFE-B680-0C93A2B143BE}"/>
                </a:ext>
              </a:extLst>
            </xdr:cNvPr>
            <xdr:cNvSpPr txBox="1"/>
          </xdr:nvSpPr>
          <xdr:spPr>
            <a:xfrm>
              <a:off x="4671060" y="18646140"/>
              <a:ext cx="23692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а2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2031A814-3D9A-4AFE-B680-0C93A2B143BE}"/>
                </a:ext>
              </a:extLst>
            </xdr:cNvPr>
            <xdr:cNvSpPr txBox="1"/>
          </xdr:nvSpPr>
          <xdr:spPr>
            <a:xfrm>
              <a:off x="4671060" y="18646140"/>
              <a:ext cx="23692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𝐷_</a:t>
              </a:r>
              <a:r>
                <a:rPr lang="ru-RU" sz="1100" b="0" i="0">
                  <a:latin typeface="Cambria Math" panose="02040503050406030204" pitchFamily="18" charset="0"/>
                </a:rPr>
                <a:t>а2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205740</xdr:colOff>
      <xdr:row>90</xdr:row>
      <xdr:rowOff>15240</xdr:rowOff>
    </xdr:from>
    <xdr:ext cx="23692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A50A22DB-314D-4581-B804-F5E6A6801D07}"/>
                </a:ext>
              </a:extLst>
            </xdr:cNvPr>
            <xdr:cNvSpPr txBox="1"/>
          </xdr:nvSpPr>
          <xdr:spPr>
            <a:xfrm>
              <a:off x="4648200" y="18844260"/>
              <a:ext cx="23692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а3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A50A22DB-314D-4581-B804-F5E6A6801D07}"/>
                </a:ext>
              </a:extLst>
            </xdr:cNvPr>
            <xdr:cNvSpPr txBox="1"/>
          </xdr:nvSpPr>
          <xdr:spPr>
            <a:xfrm>
              <a:off x="4648200" y="18844260"/>
              <a:ext cx="23692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𝐷_</a:t>
              </a:r>
              <a:r>
                <a:rPr lang="ru-RU" sz="1100" b="0" i="0">
                  <a:latin typeface="Cambria Math" panose="02040503050406030204" pitchFamily="18" charset="0"/>
                </a:rPr>
                <a:t>а3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190500</xdr:colOff>
      <xdr:row>90</xdr:row>
      <xdr:rowOff>175260</xdr:rowOff>
    </xdr:from>
    <xdr:ext cx="23692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53F17814-273C-48B2-843B-5796C7981389}"/>
                </a:ext>
              </a:extLst>
            </xdr:cNvPr>
            <xdr:cNvSpPr txBox="1"/>
          </xdr:nvSpPr>
          <xdr:spPr>
            <a:xfrm>
              <a:off x="4632960" y="19004280"/>
              <a:ext cx="23692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а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53F17814-273C-48B2-843B-5796C7981389}"/>
                </a:ext>
              </a:extLst>
            </xdr:cNvPr>
            <xdr:cNvSpPr txBox="1"/>
          </xdr:nvSpPr>
          <xdr:spPr>
            <a:xfrm>
              <a:off x="4632960" y="19004280"/>
              <a:ext cx="23692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𝐷_</a:t>
              </a:r>
              <a:r>
                <a:rPr lang="ru-RU" sz="1100" b="0" i="0">
                  <a:latin typeface="Cambria Math" panose="02040503050406030204" pitchFamily="18" charset="0"/>
                </a:rPr>
                <a:t>а</a:t>
              </a:r>
              <a:r>
                <a:rPr lang="en-US" sz="1100" b="0" i="0">
                  <a:latin typeface="Cambria Math" panose="02040503050406030204" pitchFamily="18" charset="0"/>
                </a:rPr>
                <a:t>4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518160</xdr:colOff>
      <xdr:row>1</xdr:row>
      <xdr:rowOff>152400</xdr:rowOff>
    </xdr:from>
    <xdr:to>
      <xdr:col>1</xdr:col>
      <xdr:colOff>1268730</xdr:colOff>
      <xdr:row>4</xdr:row>
      <xdr:rowOff>167640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" y="335280"/>
          <a:ext cx="1360170" cy="739140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oneCellAnchor>
    <xdr:from>
      <xdr:col>6</xdr:col>
      <xdr:colOff>30480</xdr:colOff>
      <xdr:row>9</xdr:row>
      <xdr:rowOff>11430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472940" y="18326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30480</xdr:colOff>
      <xdr:row>10</xdr:row>
      <xdr:rowOff>11430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472940" y="20154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30480</xdr:colOff>
      <xdr:row>11</xdr:row>
      <xdr:rowOff>11430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472940" y="21983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30480</xdr:colOff>
      <xdr:row>12</xdr:row>
      <xdr:rowOff>11430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472940" y="238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30480</xdr:colOff>
      <xdr:row>9</xdr:row>
      <xdr:rowOff>15240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6118860" y="1310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30480</xdr:colOff>
      <xdr:row>10</xdr:row>
      <xdr:rowOff>15240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6118860" y="149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30480</xdr:colOff>
      <xdr:row>11</xdr:row>
      <xdr:rowOff>15240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6118860" y="1676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30480</xdr:colOff>
      <xdr:row>12</xdr:row>
      <xdr:rowOff>15240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6118860" y="18592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68580</xdr:colOff>
      <xdr:row>22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4511040" y="41986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68580</xdr:colOff>
      <xdr:row>23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4511040" y="438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68580</xdr:colOff>
      <xdr:row>24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4511040" y="45643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68580</xdr:colOff>
      <xdr:row>25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4511040" y="47472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0</xdr:col>
      <xdr:colOff>601980</xdr:colOff>
      <xdr:row>6</xdr:row>
      <xdr:rowOff>38100</xdr:rowOff>
    </xdr:from>
    <xdr:to>
      <xdr:col>1</xdr:col>
      <xdr:colOff>992505</xdr:colOff>
      <xdr:row>9</xdr:row>
      <xdr:rowOff>175260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980" y="1310640"/>
          <a:ext cx="1000125" cy="685800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oneCellAnchor>
    <xdr:from>
      <xdr:col>2</xdr:col>
      <xdr:colOff>45720</xdr:colOff>
      <xdr:row>3</xdr:row>
      <xdr:rowOff>87630</xdr:rowOff>
    </xdr:from>
    <xdr:ext cx="1173480" cy="4902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 txBox="1"/>
          </xdr:nvSpPr>
          <xdr:spPr>
            <a:xfrm>
              <a:off x="2049780" y="811530"/>
              <a:ext cx="1173480" cy="4902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den>
                    </m:f>
                  </m:oMath>
                </m:oMathPara>
              </a14:m>
              <a:endParaRPr lang="en-US" sz="11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 txBox="1"/>
          </xdr:nvSpPr>
          <xdr:spPr>
            <a:xfrm>
              <a:off x="2049780" y="811530"/>
              <a:ext cx="1173480" cy="4902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𝑉_𝑖=𝐶_𝑖/𝐶</a:t>
              </a:r>
              <a:endParaRPr lang="en-US" sz="1100" b="0"/>
            </a:p>
            <a:p>
              <a:endParaRPr lang="en-US" sz="1100"/>
            </a:p>
          </xdr:txBody>
        </xdr:sp>
      </mc:Fallback>
    </mc:AlternateContent>
    <xdr:clientData/>
  </xdr:oneCellAnchor>
  <xdr:twoCellAnchor editAs="oneCell">
    <xdr:from>
      <xdr:col>1</xdr:col>
      <xdr:colOff>1124</xdr:colOff>
      <xdr:row>24</xdr:row>
      <xdr:rowOff>45720</xdr:rowOff>
    </xdr:from>
    <xdr:to>
      <xdr:col>1</xdr:col>
      <xdr:colOff>1274446</xdr:colOff>
      <xdr:row>26</xdr:row>
      <xdr:rowOff>53341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0724" y="4610100"/>
          <a:ext cx="1273322" cy="373381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243839</xdr:colOff>
      <xdr:row>23</xdr:row>
      <xdr:rowOff>121920</xdr:rowOff>
    </xdr:from>
    <xdr:to>
      <xdr:col>3</xdr:col>
      <xdr:colOff>585122</xdr:colOff>
      <xdr:row>26</xdr:row>
      <xdr:rowOff>114300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47899" y="4503420"/>
          <a:ext cx="950883" cy="541020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175261</xdr:colOff>
      <xdr:row>27</xdr:row>
      <xdr:rowOff>175260</xdr:rowOff>
    </xdr:from>
    <xdr:to>
      <xdr:col>1</xdr:col>
      <xdr:colOff>762001</xdr:colOff>
      <xdr:row>30</xdr:row>
      <xdr:rowOff>11521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4861" y="5288280"/>
          <a:ext cx="586740" cy="384901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oneCellAnchor>
    <xdr:from>
      <xdr:col>6</xdr:col>
      <xdr:colOff>243840</xdr:colOff>
      <xdr:row>48</xdr:row>
      <xdr:rowOff>95250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4686300" y="9048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967740</xdr:colOff>
      <xdr:row>27</xdr:row>
      <xdr:rowOff>167640</xdr:rowOff>
    </xdr:from>
    <xdr:ext cx="717931" cy="4950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577340" y="5280660"/>
              <a:ext cx="717931" cy="4950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den>
                    </m:f>
                  </m:oMath>
                </m:oMathPara>
              </a14:m>
              <a:endParaRPr lang="en-US" sz="11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577340" y="5280660"/>
              <a:ext cx="717931" cy="4950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𝑉_𝑗=𝐶_𝑗/𝐶</a:t>
              </a:r>
              <a:endParaRPr lang="en-US" sz="1100" b="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228600</xdr:colOff>
      <xdr:row>53</xdr:row>
      <xdr:rowOff>95250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4671060" y="996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45720</xdr:colOff>
      <xdr:row>60</xdr:row>
      <xdr:rowOff>26670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5097780" y="111747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30480</xdr:colOff>
      <xdr:row>60</xdr:row>
      <xdr:rowOff>19050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5692140" y="111671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30480</xdr:colOff>
      <xdr:row>60</xdr:row>
      <xdr:rowOff>11430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6301740" y="111594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60960</xdr:colOff>
      <xdr:row>60</xdr:row>
      <xdr:rowOff>19050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6941820" y="111671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99060</xdr:colOff>
      <xdr:row>60</xdr:row>
      <xdr:rowOff>19050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6797040" y="77000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22860</xdr:colOff>
      <xdr:row>60</xdr:row>
      <xdr:rowOff>49530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5501640" y="77304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22860</xdr:colOff>
      <xdr:row>60</xdr:row>
      <xdr:rowOff>49530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6111240" y="77304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22860</xdr:colOff>
      <xdr:row>60</xdr:row>
      <xdr:rowOff>49530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6720840" y="77304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</xdr:col>
      <xdr:colOff>1386841</xdr:colOff>
      <xdr:row>34</xdr:row>
      <xdr:rowOff>167640</xdr:rowOff>
    </xdr:from>
    <xdr:to>
      <xdr:col>3</xdr:col>
      <xdr:colOff>586741</xdr:colOff>
      <xdr:row>37</xdr:row>
      <xdr:rowOff>12252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96441" y="6560820"/>
          <a:ext cx="1203960" cy="393252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685800</xdr:colOff>
      <xdr:row>42</xdr:row>
      <xdr:rowOff>91440</xdr:rowOff>
    </xdr:from>
    <xdr:to>
      <xdr:col>1</xdr:col>
      <xdr:colOff>1333500</xdr:colOff>
      <xdr:row>44</xdr:row>
      <xdr:rowOff>87630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5400" y="7947660"/>
          <a:ext cx="647700" cy="361950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oneCellAnchor>
    <xdr:from>
      <xdr:col>7</xdr:col>
      <xdr:colOff>243840</xdr:colOff>
      <xdr:row>54</xdr:row>
      <xdr:rowOff>118110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4686300" y="152895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2</xdr:col>
      <xdr:colOff>396241</xdr:colOff>
      <xdr:row>42</xdr:row>
      <xdr:rowOff>30481</xdr:rowOff>
    </xdr:from>
    <xdr:to>
      <xdr:col>3</xdr:col>
      <xdr:colOff>340935</xdr:colOff>
      <xdr:row>44</xdr:row>
      <xdr:rowOff>83821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00301" y="7886701"/>
          <a:ext cx="554294" cy="419100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670560</xdr:colOff>
      <xdr:row>48</xdr:row>
      <xdr:rowOff>160021</xdr:rowOff>
    </xdr:from>
    <xdr:to>
      <xdr:col>1</xdr:col>
      <xdr:colOff>1265983</xdr:colOff>
      <xdr:row>50</xdr:row>
      <xdr:rowOff>7621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80160" y="9113521"/>
          <a:ext cx="595423" cy="213360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oneCellAnchor>
    <xdr:from>
      <xdr:col>6</xdr:col>
      <xdr:colOff>205740</xdr:colOff>
      <xdr:row>88</xdr:row>
      <xdr:rowOff>26670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4648200" y="162953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2</xdr:col>
      <xdr:colOff>289560</xdr:colOff>
      <xdr:row>47</xdr:row>
      <xdr:rowOff>30480</xdr:rowOff>
    </xdr:from>
    <xdr:to>
      <xdr:col>4</xdr:col>
      <xdr:colOff>403860</xdr:colOff>
      <xdr:row>51</xdr:row>
      <xdr:rowOff>22860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93620" y="8801100"/>
          <a:ext cx="1333500" cy="723900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oneCellAnchor>
    <xdr:from>
      <xdr:col>6</xdr:col>
      <xdr:colOff>144780</xdr:colOff>
      <xdr:row>91</xdr:row>
      <xdr:rowOff>99060</xdr:rowOff>
    </xdr:from>
    <xdr:ext cx="391646" cy="194631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5013960" y="15643860"/>
          <a:ext cx="391646" cy="194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twoCellAnchor editAs="oneCell">
    <xdr:from>
      <xdr:col>5</xdr:col>
      <xdr:colOff>403860</xdr:colOff>
      <xdr:row>42</xdr:row>
      <xdr:rowOff>68581</xdr:rowOff>
    </xdr:from>
    <xdr:to>
      <xdr:col>8</xdr:col>
      <xdr:colOff>289559</xdr:colOff>
      <xdr:row>45</xdr:row>
      <xdr:rowOff>71665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36720" y="7924801"/>
          <a:ext cx="1714499" cy="551724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oneCellAnchor>
    <xdr:from>
      <xdr:col>6</xdr:col>
      <xdr:colOff>182880</xdr:colOff>
      <xdr:row>94</xdr:row>
      <xdr:rowOff>179070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/>
      </xdr:nvSpPr>
      <xdr:spPr>
        <a:xfrm>
          <a:off x="4625340" y="1754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182880</xdr:colOff>
      <xdr:row>95</xdr:row>
      <xdr:rowOff>179070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>
          <a:off x="4625340" y="177279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182880</xdr:colOff>
      <xdr:row>96</xdr:row>
      <xdr:rowOff>179070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4625340" y="179108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182880</xdr:colOff>
      <xdr:row>97</xdr:row>
      <xdr:rowOff>179070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/>
      </xdr:nvSpPr>
      <xdr:spPr>
        <a:xfrm>
          <a:off x="4442460" y="13895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5</xdr:col>
      <xdr:colOff>129540</xdr:colOff>
      <xdr:row>46</xdr:row>
      <xdr:rowOff>99060</xdr:rowOff>
    </xdr:from>
    <xdr:to>
      <xdr:col>9</xdr:col>
      <xdr:colOff>307728</xdr:colOff>
      <xdr:row>50</xdr:row>
      <xdr:rowOff>76200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962400" y="8686800"/>
          <a:ext cx="2616588" cy="708660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oneCellAnchor>
    <xdr:from>
      <xdr:col>6</xdr:col>
      <xdr:colOff>228600</xdr:colOff>
      <xdr:row>100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4671060" y="184632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228600</xdr:colOff>
      <xdr:row>101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/>
      </xdr:nvSpPr>
      <xdr:spPr>
        <a:xfrm>
          <a:off x="4671060" y="1864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205740</xdr:colOff>
      <xdr:row>102</xdr:row>
      <xdr:rowOff>15240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/>
      </xdr:nvSpPr>
      <xdr:spPr>
        <a:xfrm>
          <a:off x="4648200" y="188442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0</xdr:col>
      <xdr:colOff>83820</xdr:colOff>
      <xdr:row>12</xdr:row>
      <xdr:rowOff>38100</xdr:rowOff>
    </xdr:from>
    <xdr:to>
      <xdr:col>1</xdr:col>
      <xdr:colOff>685800</xdr:colOff>
      <xdr:row>15</xdr:row>
      <xdr:rowOff>45720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3820" y="2407920"/>
          <a:ext cx="1211580" cy="556260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oneCellAnchor>
    <xdr:from>
      <xdr:col>9</xdr:col>
      <xdr:colOff>30480</xdr:colOff>
      <xdr:row>9</xdr:row>
      <xdr:rowOff>15240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>
          <a:off x="6301740" y="1836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30480</xdr:colOff>
      <xdr:row>10</xdr:row>
      <xdr:rowOff>15240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/>
      </xdr:nvSpPr>
      <xdr:spPr>
        <a:xfrm>
          <a:off x="6301740" y="201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30480</xdr:colOff>
      <xdr:row>11</xdr:row>
      <xdr:rowOff>15240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/>
      </xdr:nvSpPr>
      <xdr:spPr>
        <a:xfrm>
          <a:off x="6301740" y="22021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30480</xdr:colOff>
      <xdr:row>12</xdr:row>
      <xdr:rowOff>15240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/>
      </xdr:nvSpPr>
      <xdr:spPr>
        <a:xfrm>
          <a:off x="6301740" y="23850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190500</xdr:colOff>
      <xdr:row>102</xdr:row>
      <xdr:rowOff>175260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/>
      </xdr:nvSpPr>
      <xdr:spPr>
        <a:xfrm>
          <a:off x="4632960" y="190042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0</xdr:col>
      <xdr:colOff>68580</xdr:colOff>
      <xdr:row>34</xdr:row>
      <xdr:rowOff>175260</xdr:rowOff>
    </xdr:from>
    <xdr:to>
      <xdr:col>1</xdr:col>
      <xdr:colOff>80456</xdr:colOff>
      <xdr:row>36</xdr:row>
      <xdr:rowOff>167639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76823917-E350-4FA4-A7B2-E3900DE10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580" y="6568440"/>
          <a:ext cx="621476" cy="358139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213360</xdr:colOff>
      <xdr:row>34</xdr:row>
      <xdr:rowOff>175260</xdr:rowOff>
    </xdr:from>
    <xdr:to>
      <xdr:col>1</xdr:col>
      <xdr:colOff>1165860</xdr:colOff>
      <xdr:row>37</xdr:row>
      <xdr:rowOff>70729</xdr:rowOff>
    </xdr:to>
    <xdr:pic>
      <xdr:nvPicPr>
        <xdr:cNvPr id="59" name="Рисунок 58">
          <a:extLst>
            <a:ext uri="{FF2B5EF4-FFF2-40B4-BE49-F238E27FC236}">
              <a16:creationId xmlns:a16="http://schemas.microsoft.com/office/drawing/2014/main" id="{38AF8AE5-B645-4F79-8409-E617455FE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2960" y="6568440"/>
          <a:ext cx="952500" cy="444109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tabSelected="1" topLeftCell="A61" workbookViewId="0">
      <selection activeCell="E66" sqref="E66"/>
    </sheetView>
  </sheetViews>
  <sheetFormatPr defaultRowHeight="14.4" x14ac:dyDescent="0.3"/>
  <cols>
    <col min="1" max="1" width="7" customWidth="1"/>
    <col min="2" max="2" width="13.5546875" customWidth="1"/>
    <col min="3" max="3" width="11.44140625" customWidth="1"/>
    <col min="4" max="4" width="12.21875" customWidth="1"/>
  </cols>
  <sheetData>
    <row r="1" spans="1:11" x14ac:dyDescent="0.3">
      <c r="A1" s="6" t="s">
        <v>0</v>
      </c>
      <c r="B1" s="31" t="s">
        <v>26</v>
      </c>
      <c r="C1" s="30"/>
      <c r="D1" s="30"/>
      <c r="E1" s="30"/>
      <c r="G1" s="1"/>
      <c r="H1" s="1" t="s">
        <v>0</v>
      </c>
      <c r="I1" s="1" t="s">
        <v>1</v>
      </c>
      <c r="J1" s="1" t="s">
        <v>2</v>
      </c>
      <c r="K1" s="1" t="s">
        <v>3</v>
      </c>
    </row>
    <row r="2" spans="1:11" x14ac:dyDescent="0.3">
      <c r="A2" s="6" t="s">
        <v>1</v>
      </c>
      <c r="B2" s="30" t="s">
        <v>21</v>
      </c>
      <c r="C2" s="30"/>
      <c r="D2" s="30"/>
      <c r="E2" s="30"/>
      <c r="G2" s="1" t="s">
        <v>0</v>
      </c>
      <c r="H2" s="9">
        <v>1</v>
      </c>
      <c r="I2" s="9">
        <v>3</v>
      </c>
      <c r="J2" s="11">
        <v>0.33333333333333331</v>
      </c>
      <c r="K2" s="9">
        <v>6</v>
      </c>
    </row>
    <row r="3" spans="1:11" x14ac:dyDescent="0.3">
      <c r="A3" s="6" t="s">
        <v>2</v>
      </c>
      <c r="B3" s="30" t="s">
        <v>20</v>
      </c>
      <c r="C3" s="30"/>
      <c r="D3" s="30"/>
      <c r="E3" s="30"/>
      <c r="G3" s="1" t="s">
        <v>1</v>
      </c>
      <c r="H3" s="11">
        <v>0.33333333333333331</v>
      </c>
      <c r="I3" s="8">
        <v>1</v>
      </c>
      <c r="J3" s="11">
        <v>0.2</v>
      </c>
      <c r="K3" s="9">
        <v>3</v>
      </c>
    </row>
    <row r="4" spans="1:11" x14ac:dyDescent="0.3">
      <c r="A4" s="6" t="s">
        <v>3</v>
      </c>
      <c r="B4" s="31" t="s">
        <v>22</v>
      </c>
      <c r="C4" s="30"/>
      <c r="D4" s="30"/>
      <c r="E4" s="30"/>
      <c r="G4" s="1" t="s">
        <v>2</v>
      </c>
      <c r="H4" s="9">
        <v>3</v>
      </c>
      <c r="I4" s="9">
        <v>5</v>
      </c>
      <c r="J4" s="8">
        <v>1</v>
      </c>
      <c r="K4" s="9">
        <v>8</v>
      </c>
    </row>
    <row r="5" spans="1:11" x14ac:dyDescent="0.3">
      <c r="G5" s="1" t="s">
        <v>3</v>
      </c>
      <c r="H5" s="11">
        <v>0.16666666666666666</v>
      </c>
      <c r="I5" s="11">
        <v>0.33333333333333331</v>
      </c>
      <c r="J5" s="11">
        <v>0.125</v>
      </c>
      <c r="K5" s="8">
        <v>1</v>
      </c>
    </row>
    <row r="7" spans="1:11" ht="14.4" customHeight="1" x14ac:dyDescent="0.3">
      <c r="G7" s="1"/>
      <c r="H7" s="7">
        <f>SQRT(SQRT(H2*I2*J2*K2))</f>
        <v>1.5650845800732873</v>
      </c>
      <c r="I7" s="10"/>
      <c r="J7" s="6"/>
      <c r="K7" s="14">
        <f>H7/$H$11</f>
        <v>0.26835000694662181</v>
      </c>
    </row>
    <row r="8" spans="1:11" x14ac:dyDescent="0.3">
      <c r="G8" s="1"/>
      <c r="H8" s="7">
        <f>SQRT(SQRT(H3*I3*J3*K3))</f>
        <v>0.66874030497642201</v>
      </c>
      <c r="I8" s="10"/>
      <c r="J8" s="6"/>
      <c r="K8" s="14">
        <f t="shared" ref="K8:K10" si="0">H8/$H$11</f>
        <v>0.11466247113463064</v>
      </c>
    </row>
    <row r="9" spans="1:11" x14ac:dyDescent="0.3">
      <c r="G9" s="1"/>
      <c r="H9" s="7">
        <f t="shared" ref="H9:H10" si="1">SQRT(SQRT(H4*I4*J4*K4))</f>
        <v>3.3097509196468731</v>
      </c>
      <c r="I9" s="10"/>
      <c r="J9" s="6"/>
      <c r="K9" s="14">
        <f t="shared" si="0"/>
        <v>0.56749117177886732</v>
      </c>
    </row>
    <row r="10" spans="1:11" x14ac:dyDescent="0.3">
      <c r="G10" s="1"/>
      <c r="H10" s="7">
        <f t="shared" si="1"/>
        <v>0.28867513459481287</v>
      </c>
      <c r="I10" s="10"/>
      <c r="J10" s="6"/>
      <c r="K10" s="14">
        <f t="shared" si="0"/>
        <v>4.9496350139880338E-2</v>
      </c>
    </row>
    <row r="11" spans="1:11" x14ac:dyDescent="0.3">
      <c r="G11" s="6" t="s">
        <v>4</v>
      </c>
      <c r="H11" s="7">
        <f>SUM(H7:H10)</f>
        <v>5.832250939291395</v>
      </c>
      <c r="I11" s="2"/>
      <c r="J11" s="2"/>
      <c r="K11" s="2"/>
    </row>
    <row r="15" spans="1:11" x14ac:dyDescent="0.3">
      <c r="F15" s="6"/>
      <c r="G15" s="12">
        <f>H2+H3+H4+H5</f>
        <v>4.5</v>
      </c>
      <c r="I15" s="4" t="s">
        <v>5</v>
      </c>
      <c r="J15" s="13">
        <f>G15*K7+G16*K8+G17*K9+G18*K10</f>
        <v>4.1097819242341522</v>
      </c>
    </row>
    <row r="16" spans="1:11" x14ac:dyDescent="0.3">
      <c r="F16" s="6"/>
      <c r="G16" s="12">
        <f>I2+I3+I4+I5</f>
        <v>9.3333333333333339</v>
      </c>
      <c r="I16" s="6" t="s">
        <v>6</v>
      </c>
      <c r="J16" s="13">
        <f>(J15-4)/3</f>
        <v>3.6593974744717407E-2</v>
      </c>
    </row>
    <row r="17" spans="6:10" x14ac:dyDescent="0.3">
      <c r="F17" s="6"/>
      <c r="G17" s="12">
        <f>J2+J3+J4+J5</f>
        <v>1.6583333333333332</v>
      </c>
    </row>
    <row r="18" spans="6:10" x14ac:dyDescent="0.3">
      <c r="F18" s="6"/>
      <c r="G18" s="12">
        <f>K2+K3+K4+K5</f>
        <v>18</v>
      </c>
    </row>
    <row r="21" spans="6:10" x14ac:dyDescent="0.3">
      <c r="F21" s="15" t="s">
        <v>16</v>
      </c>
      <c r="G21" s="15">
        <v>0.9</v>
      </c>
    </row>
    <row r="22" spans="6:10" x14ac:dyDescent="0.3">
      <c r="F22" s="15" t="s">
        <v>17</v>
      </c>
      <c r="G22" s="15">
        <f>J16/G21</f>
        <v>4.0659971938574895E-2</v>
      </c>
    </row>
    <row r="27" spans="6:10" x14ac:dyDescent="0.3">
      <c r="F27" s="30" t="s">
        <v>9</v>
      </c>
      <c r="G27" s="30" t="s">
        <v>10</v>
      </c>
      <c r="H27" s="30"/>
      <c r="I27" s="30"/>
      <c r="J27" s="30"/>
    </row>
    <row r="28" spans="6:10" x14ac:dyDescent="0.3">
      <c r="F28" s="30"/>
      <c r="G28" s="16" t="s">
        <v>0</v>
      </c>
      <c r="H28" s="16" t="s">
        <v>1</v>
      </c>
      <c r="I28" s="16" t="s">
        <v>2</v>
      </c>
      <c r="J28" s="16" t="s">
        <v>3</v>
      </c>
    </row>
    <row r="29" spans="6:10" x14ac:dyDescent="0.3">
      <c r="F29" s="16">
        <v>1</v>
      </c>
      <c r="G29" s="16">
        <v>2</v>
      </c>
      <c r="H29" s="16">
        <v>3</v>
      </c>
      <c r="I29" s="16">
        <v>1</v>
      </c>
      <c r="J29" s="16">
        <v>4</v>
      </c>
    </row>
    <row r="30" spans="6:10" x14ac:dyDescent="0.3">
      <c r="F30" s="16">
        <v>2</v>
      </c>
      <c r="G30" s="16">
        <v>1</v>
      </c>
      <c r="H30" s="16">
        <v>2</v>
      </c>
      <c r="I30" s="16">
        <v>3</v>
      </c>
      <c r="J30" s="16">
        <v>4</v>
      </c>
    </row>
    <row r="31" spans="6:10" x14ac:dyDescent="0.3">
      <c r="F31" s="16">
        <v>3</v>
      </c>
      <c r="G31" s="16">
        <v>2</v>
      </c>
      <c r="H31" s="16">
        <v>4</v>
      </c>
      <c r="I31" s="16">
        <v>1</v>
      </c>
      <c r="J31" s="16">
        <v>3</v>
      </c>
    </row>
    <row r="35" spans="6:10" x14ac:dyDescent="0.3">
      <c r="F35" s="30" t="s">
        <v>9</v>
      </c>
      <c r="G35" s="30" t="s">
        <v>10</v>
      </c>
      <c r="H35" s="30"/>
      <c r="I35" s="30"/>
      <c r="J35" s="30"/>
    </row>
    <row r="36" spans="6:10" x14ac:dyDescent="0.3">
      <c r="F36" s="30"/>
      <c r="G36" s="16" t="s">
        <v>0</v>
      </c>
      <c r="H36" s="16" t="s">
        <v>1</v>
      </c>
      <c r="I36" s="16" t="s">
        <v>2</v>
      </c>
      <c r="J36" s="16" t="s">
        <v>3</v>
      </c>
    </row>
    <row r="37" spans="6:10" x14ac:dyDescent="0.3">
      <c r="F37" s="16">
        <v>1</v>
      </c>
      <c r="G37" s="16">
        <v>2</v>
      </c>
      <c r="H37" s="16">
        <v>1</v>
      </c>
      <c r="I37" s="16">
        <v>3</v>
      </c>
      <c r="J37" s="16">
        <v>0</v>
      </c>
    </row>
    <row r="38" spans="6:10" x14ac:dyDescent="0.3">
      <c r="F38" s="16">
        <v>2</v>
      </c>
      <c r="G38" s="16">
        <v>3</v>
      </c>
      <c r="H38" s="16">
        <v>2</v>
      </c>
      <c r="I38" s="16">
        <v>1</v>
      </c>
      <c r="J38" s="16">
        <v>0</v>
      </c>
    </row>
    <row r="39" spans="6:10" x14ac:dyDescent="0.3">
      <c r="F39" s="16">
        <v>3</v>
      </c>
      <c r="G39" s="16">
        <v>2</v>
      </c>
      <c r="H39" s="16">
        <v>0</v>
      </c>
      <c r="I39" s="16">
        <v>3</v>
      </c>
      <c r="J39" s="16">
        <v>1</v>
      </c>
    </row>
    <row r="42" spans="6:10" x14ac:dyDescent="0.3">
      <c r="F42" s="24"/>
      <c r="G42" s="15">
        <f>G37+G38+G39</f>
        <v>7</v>
      </c>
      <c r="H42" s="15">
        <f t="shared" ref="H42:J42" si="2">H37+H38+H39</f>
        <v>3</v>
      </c>
      <c r="I42" s="15">
        <f t="shared" si="2"/>
        <v>7</v>
      </c>
      <c r="J42" s="15">
        <f t="shared" si="2"/>
        <v>1</v>
      </c>
    </row>
    <row r="43" spans="6:10" x14ac:dyDescent="0.3">
      <c r="F43" s="24" t="s">
        <v>4</v>
      </c>
      <c r="G43" s="15">
        <f>G42+H42+I42+J42</f>
        <v>18</v>
      </c>
    </row>
    <row r="47" spans="6:10" x14ac:dyDescent="0.3">
      <c r="F47" s="23"/>
      <c r="G47" s="15">
        <f>G42/$G$43</f>
        <v>0.3888888888888889</v>
      </c>
      <c r="H47" s="15">
        <f t="shared" ref="H47:J47" si="3">H42/$G$43</f>
        <v>0.16666666666666666</v>
      </c>
      <c r="I47" s="15">
        <f t="shared" si="3"/>
        <v>0.3888888888888889</v>
      </c>
      <c r="J47" s="15">
        <f t="shared" si="3"/>
        <v>5.5555555555555552E-2</v>
      </c>
    </row>
    <row r="48" spans="6:10" x14ac:dyDescent="0.3">
      <c r="F48" s="25"/>
    </row>
    <row r="50" spans="4:9" x14ac:dyDescent="0.3">
      <c r="F50" s="16"/>
      <c r="G50" s="16"/>
      <c r="H50" s="16"/>
      <c r="I50" s="16"/>
    </row>
    <row r="51" spans="4:9" x14ac:dyDescent="0.3">
      <c r="F51" s="16">
        <f>SUM(G29:G31)</f>
        <v>5</v>
      </c>
      <c r="G51" s="16">
        <f>SUM(H29:H31)</f>
        <v>9</v>
      </c>
      <c r="H51" s="16">
        <f>SUM(I29:I31)</f>
        <v>5</v>
      </c>
      <c r="I51" s="16">
        <f>SUM(J29:J31)</f>
        <v>11</v>
      </c>
    </row>
    <row r="53" spans="4:9" x14ac:dyDescent="0.3">
      <c r="F53" s="15" t="s">
        <v>24</v>
      </c>
      <c r="G53" s="15">
        <f>15/2</f>
        <v>7.5</v>
      </c>
    </row>
    <row r="56" spans="4:9" x14ac:dyDescent="0.3">
      <c r="F56" s="15" t="s">
        <v>25</v>
      </c>
      <c r="G56" s="15">
        <f>(F51-G53)^2+(G51-G53)^2+(H51-G53)^2+(I51-G53)^2</f>
        <v>27</v>
      </c>
    </row>
    <row r="59" spans="4:9" x14ac:dyDescent="0.3">
      <c r="F59" s="26" t="s">
        <v>11</v>
      </c>
      <c r="G59" s="26">
        <f>(12*G56)/(9*4*(16-1))</f>
        <v>0.6</v>
      </c>
    </row>
    <row r="64" spans="4:9" x14ac:dyDescent="0.3">
      <c r="D64" s="30" t="s">
        <v>9</v>
      </c>
      <c r="E64" s="30" t="s">
        <v>10</v>
      </c>
      <c r="F64" s="30"/>
      <c r="G64" s="30"/>
      <c r="H64" s="30"/>
    </row>
    <row r="65" spans="4:8" x14ac:dyDescent="0.3">
      <c r="D65" s="30"/>
      <c r="E65" s="16" t="s">
        <v>0</v>
      </c>
      <c r="F65" s="16" t="s">
        <v>1</v>
      </c>
      <c r="G65" s="16" t="s">
        <v>2</v>
      </c>
      <c r="H65" s="16" t="s">
        <v>3</v>
      </c>
    </row>
    <row r="66" spans="4:8" x14ac:dyDescent="0.3">
      <c r="D66" s="16">
        <v>1</v>
      </c>
      <c r="E66" s="16">
        <v>7</v>
      </c>
      <c r="F66" s="16">
        <v>5</v>
      </c>
      <c r="G66" s="16">
        <v>10</v>
      </c>
      <c r="H66" s="16">
        <v>3</v>
      </c>
    </row>
    <row r="67" spans="4:8" x14ac:dyDescent="0.3">
      <c r="D67" s="16">
        <v>2</v>
      </c>
      <c r="E67" s="16">
        <v>10</v>
      </c>
      <c r="F67" s="16">
        <v>8</v>
      </c>
      <c r="G67" s="16">
        <v>6</v>
      </c>
      <c r="H67" s="16">
        <v>3</v>
      </c>
    </row>
    <row r="68" spans="4:8" x14ac:dyDescent="0.3">
      <c r="D68" s="16">
        <v>3</v>
      </c>
      <c r="E68" s="16">
        <v>8</v>
      </c>
      <c r="F68" s="16">
        <v>3</v>
      </c>
      <c r="G68" s="16">
        <v>10</v>
      </c>
      <c r="H68" s="16">
        <v>5</v>
      </c>
    </row>
    <row r="71" spans="4:8" x14ac:dyDescent="0.3">
      <c r="D71" s="30"/>
      <c r="E71" s="30">
        <f>E66+E67+E68</f>
        <v>25</v>
      </c>
      <c r="F71" s="30">
        <f t="shared" ref="F71:H71" si="4">F66+F67+F68</f>
        <v>16</v>
      </c>
      <c r="G71" s="30">
        <f t="shared" si="4"/>
        <v>26</v>
      </c>
      <c r="H71" s="30">
        <f t="shared" si="4"/>
        <v>11</v>
      </c>
    </row>
    <row r="72" spans="4:8" x14ac:dyDescent="0.3">
      <c r="D72" s="30"/>
      <c r="E72" s="30"/>
      <c r="F72" s="30"/>
      <c r="G72" s="30"/>
      <c r="H72" s="30"/>
    </row>
    <row r="74" spans="4:8" x14ac:dyDescent="0.3">
      <c r="D74" s="15" t="s">
        <v>4</v>
      </c>
      <c r="E74" s="15">
        <f>E71+F71+G71+H71</f>
        <v>78</v>
      </c>
    </row>
    <row r="76" spans="4:8" x14ac:dyDescent="0.3">
      <c r="D76" s="16"/>
      <c r="E76" s="16">
        <f>E71/$E$74</f>
        <v>0.32051282051282054</v>
      </c>
      <c r="F76" s="16">
        <f t="shared" ref="F76:H76" si="5">F71/$E$74</f>
        <v>0.20512820512820512</v>
      </c>
      <c r="G76" s="16">
        <f t="shared" si="5"/>
        <v>0.33333333333333331</v>
      </c>
      <c r="H76" s="16">
        <f t="shared" si="5"/>
        <v>0.14102564102564102</v>
      </c>
    </row>
    <row r="79" spans="4:8" x14ac:dyDescent="0.3">
      <c r="D79" s="30"/>
      <c r="E79" s="30">
        <f>E71/3</f>
        <v>8.3333333333333339</v>
      </c>
      <c r="F79" s="30">
        <f t="shared" ref="F79:G79" si="6">F71/3</f>
        <v>5.333333333333333</v>
      </c>
      <c r="G79" s="30">
        <f t="shared" si="6"/>
        <v>8.6666666666666661</v>
      </c>
      <c r="H79" s="30">
        <f>H71/3</f>
        <v>3.6666666666666665</v>
      </c>
    </row>
    <row r="80" spans="4:8" x14ac:dyDescent="0.3">
      <c r="D80" s="30"/>
      <c r="E80" s="30"/>
      <c r="F80" s="30"/>
      <c r="G80" s="30"/>
      <c r="H80" s="30"/>
    </row>
    <row r="81" spans="4:8" x14ac:dyDescent="0.3">
      <c r="D81" s="30"/>
      <c r="E81" s="30"/>
      <c r="F81" s="30"/>
      <c r="G81" s="30"/>
      <c r="H81" s="30"/>
    </row>
    <row r="82" spans="4:8" x14ac:dyDescent="0.3">
      <c r="D82" s="30"/>
      <c r="E82" s="30"/>
      <c r="F82" s="30"/>
      <c r="G82" s="30"/>
      <c r="H82" s="30"/>
    </row>
    <row r="85" spans="4:8" x14ac:dyDescent="0.3">
      <c r="D85" s="16"/>
      <c r="E85" s="16">
        <f>((E66-$E$79)^2+(F66-$F$79)^2+(G66-$G$79)^2+(H66-$H$79)^2)/3</f>
        <v>1.3703703703703713</v>
      </c>
    </row>
    <row r="86" spans="4:8" x14ac:dyDescent="0.3">
      <c r="D86" s="16"/>
      <c r="E86" s="16">
        <f t="shared" ref="E86:E87" si="7">((E67-$E$79)^2+(F67-$F$79)^2+(G67-$G$79)^2+(H67-$H$79)^2)/3</f>
        <v>5.8148148148148131</v>
      </c>
    </row>
    <row r="87" spans="4:8" x14ac:dyDescent="0.3">
      <c r="D87" s="16"/>
      <c r="E87" s="16">
        <f t="shared" si="7"/>
        <v>3.0370370370370376</v>
      </c>
    </row>
    <row r="89" spans="4:8" x14ac:dyDescent="0.3">
      <c r="D89" s="16"/>
      <c r="E89" s="16">
        <f>((E66-E$79)^2+(E67-E$79)^2+(E68-E$79)^2)/2</f>
        <v>2.3333333333333335</v>
      </c>
    </row>
    <row r="90" spans="4:8" x14ac:dyDescent="0.3">
      <c r="D90" s="16"/>
      <c r="E90" s="16">
        <f>((F66-F$79)^2+(F67-F$79)^2+(F68-F$79)^2)/2</f>
        <v>6.333333333333333</v>
      </c>
    </row>
    <row r="91" spans="4:8" x14ac:dyDescent="0.3">
      <c r="D91" s="16"/>
      <c r="E91" s="16">
        <f>((G66-G$79)^2+(G67-G$79)^2+(G68-G$79)^2)/2</f>
        <v>5.3333333333333339</v>
      </c>
    </row>
    <row r="92" spans="4:8" x14ac:dyDescent="0.3">
      <c r="D92" s="16"/>
      <c r="E92" s="16">
        <f>((H66-H$79)^2+(H67-H$79)^2+(H68-H$79)^2)/2</f>
        <v>1.3333333333333333</v>
      </c>
    </row>
  </sheetData>
  <mergeCells count="20">
    <mergeCell ref="B1:E1"/>
    <mergeCell ref="B2:E2"/>
    <mergeCell ref="B3:E3"/>
    <mergeCell ref="B4:E4"/>
    <mergeCell ref="D64:D65"/>
    <mergeCell ref="E64:H64"/>
    <mergeCell ref="F27:F28"/>
    <mergeCell ref="G27:J27"/>
    <mergeCell ref="F35:F36"/>
    <mergeCell ref="G35:J35"/>
    <mergeCell ref="D71:D72"/>
    <mergeCell ref="E71:E72"/>
    <mergeCell ref="F71:F72"/>
    <mergeCell ref="G71:G72"/>
    <mergeCell ref="H71:H72"/>
    <mergeCell ref="D79:D82"/>
    <mergeCell ref="E79:E82"/>
    <mergeCell ref="F79:F82"/>
    <mergeCell ref="G79:G82"/>
    <mergeCell ref="H79:H82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1"/>
  <sheetViews>
    <sheetView topLeftCell="A14" zoomScaleNormal="100" workbookViewId="0">
      <selection activeCell="C18" sqref="C18"/>
    </sheetView>
  </sheetViews>
  <sheetFormatPr defaultRowHeight="14.4" x14ac:dyDescent="0.3"/>
  <cols>
    <col min="1" max="1" width="8.88671875" style="2" customWidth="1"/>
    <col min="2" max="2" width="20.33203125" style="2" customWidth="1"/>
    <col min="3" max="16384" width="8.88671875" style="2"/>
  </cols>
  <sheetData>
    <row r="1" spans="1:21" s="3" customFormat="1" x14ac:dyDescent="0.3">
      <c r="A1" s="32" t="s">
        <v>14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21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 ht="28.2" customHeight="1" x14ac:dyDescent="0.3">
      <c r="A3" s="18"/>
      <c r="B3" s="27"/>
      <c r="C3" s="25"/>
      <c r="D3" s="25"/>
      <c r="E3" s="25"/>
      <c r="F3" s="18"/>
      <c r="G3" s="25"/>
      <c r="H3" s="25"/>
      <c r="I3" s="25"/>
      <c r="J3" s="25"/>
      <c r="K3" s="25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 x14ac:dyDescent="0.3">
      <c r="A4" s="18"/>
      <c r="B4" s="25"/>
      <c r="C4" s="25"/>
      <c r="D4" s="25"/>
      <c r="E4" s="25"/>
      <c r="F4" s="18"/>
      <c r="G4" s="19"/>
      <c r="H4" s="19"/>
      <c r="I4" s="19"/>
      <c r="J4" s="19"/>
      <c r="K4" s="19"/>
      <c r="L4" s="18"/>
      <c r="M4" s="18"/>
      <c r="N4" s="18"/>
      <c r="O4" s="18"/>
      <c r="P4" s="18"/>
      <c r="Q4" s="18"/>
      <c r="R4" s="17"/>
      <c r="S4" s="17"/>
      <c r="T4" s="17"/>
      <c r="U4" s="17"/>
    </row>
    <row r="5" spans="1:21" x14ac:dyDescent="0.3">
      <c r="A5" s="18"/>
      <c r="B5" s="25"/>
      <c r="C5" s="25"/>
      <c r="D5" s="25"/>
      <c r="E5" s="25"/>
      <c r="F5" s="18"/>
      <c r="G5" s="19"/>
      <c r="H5" s="19"/>
      <c r="I5" s="19"/>
      <c r="J5" s="19"/>
      <c r="K5" s="19"/>
      <c r="L5" s="18"/>
      <c r="M5" s="18"/>
      <c r="N5" s="18"/>
      <c r="O5" s="18"/>
      <c r="P5" s="18"/>
      <c r="Q5" s="18"/>
      <c r="R5" s="17"/>
      <c r="S5" s="17"/>
      <c r="T5" s="17"/>
      <c r="U5" s="17"/>
    </row>
    <row r="6" spans="1:21" x14ac:dyDescent="0.3">
      <c r="A6" s="18"/>
      <c r="B6" s="27"/>
      <c r="C6" s="25"/>
      <c r="D6" s="25"/>
      <c r="E6" s="25"/>
      <c r="F6" s="18"/>
      <c r="G6" s="19"/>
      <c r="H6" s="19"/>
      <c r="I6" s="19"/>
      <c r="J6" s="19"/>
      <c r="K6" s="19"/>
      <c r="L6" s="18"/>
      <c r="M6" s="18"/>
      <c r="N6" s="18"/>
      <c r="O6" s="18"/>
      <c r="P6" s="18"/>
      <c r="Q6" s="18"/>
      <c r="R6" s="17"/>
      <c r="S6" s="17"/>
      <c r="T6" s="17"/>
      <c r="U6" s="17"/>
    </row>
    <row r="7" spans="1:21" x14ac:dyDescent="0.3">
      <c r="A7" s="18"/>
      <c r="B7" s="18"/>
      <c r="C7" s="18"/>
      <c r="D7" s="18"/>
      <c r="E7" s="18"/>
      <c r="F7" s="18"/>
      <c r="G7" s="19"/>
      <c r="H7" s="19"/>
      <c r="I7" s="19"/>
      <c r="J7" s="19"/>
      <c r="K7" s="19"/>
      <c r="L7" s="18"/>
      <c r="M7" s="18"/>
      <c r="N7" s="18"/>
      <c r="O7" s="18"/>
      <c r="P7" s="18"/>
      <c r="Q7" s="18"/>
      <c r="R7" s="17"/>
      <c r="S7" s="17"/>
      <c r="T7" s="17"/>
      <c r="U7" s="17"/>
    </row>
    <row r="8" spans="1:21" x14ac:dyDescent="0.3">
      <c r="A8" s="18"/>
      <c r="B8" s="18"/>
      <c r="C8" s="18"/>
      <c r="D8" s="18"/>
      <c r="E8" s="18"/>
      <c r="F8" s="18"/>
      <c r="G8" s="19"/>
      <c r="H8" s="19"/>
      <c r="I8" s="19"/>
      <c r="J8" s="19"/>
      <c r="K8" s="19"/>
      <c r="L8" s="18"/>
      <c r="M8" s="18"/>
      <c r="N8" s="18"/>
      <c r="O8" s="18"/>
      <c r="P8" s="18"/>
      <c r="Q8" s="18"/>
      <c r="R8" s="17"/>
      <c r="S8" s="17"/>
      <c r="T8" s="17"/>
      <c r="U8" s="17"/>
    </row>
    <row r="9" spans="1:21" x14ac:dyDescent="0.3">
      <c r="A9" s="18"/>
      <c r="B9" s="18"/>
      <c r="C9" s="18"/>
      <c r="D9" s="18"/>
      <c r="E9" s="18"/>
      <c r="F9" s="18"/>
      <c r="G9" s="18"/>
      <c r="H9" s="19"/>
      <c r="I9" s="18"/>
      <c r="J9" s="18"/>
      <c r="K9" s="18"/>
      <c r="L9" s="18"/>
      <c r="M9" s="18"/>
      <c r="N9" s="18"/>
      <c r="O9" s="18"/>
      <c r="P9" s="18"/>
      <c r="Q9" s="18"/>
      <c r="R9" s="17"/>
      <c r="S9" s="17"/>
      <c r="T9" s="17"/>
      <c r="U9" s="17"/>
    </row>
    <row r="10" spans="1:21" ht="14.4" customHeight="1" x14ac:dyDescent="0.3">
      <c r="A10" s="18"/>
      <c r="B10" s="18"/>
      <c r="C10" s="18"/>
      <c r="D10" s="18"/>
      <c r="E10" s="18"/>
      <c r="F10" s="28"/>
      <c r="G10" s="19"/>
      <c r="H10" s="19"/>
      <c r="I10" s="28"/>
      <c r="J10" s="18"/>
      <c r="K10" s="19"/>
      <c r="L10" s="25"/>
      <c r="M10" s="18"/>
      <c r="N10" s="18"/>
      <c r="O10" s="18"/>
      <c r="P10" s="18"/>
      <c r="Q10" s="18"/>
      <c r="R10" s="17"/>
      <c r="S10" s="17"/>
      <c r="T10" s="17"/>
      <c r="U10" s="17"/>
    </row>
    <row r="11" spans="1:21" x14ac:dyDescent="0.3">
      <c r="A11" s="18"/>
      <c r="B11" s="18"/>
      <c r="C11" s="18"/>
      <c r="D11" s="18"/>
      <c r="E11" s="18"/>
      <c r="F11" s="28"/>
      <c r="G11" s="19"/>
      <c r="H11" s="18"/>
      <c r="I11" s="28"/>
      <c r="J11" s="18"/>
      <c r="K11" s="19"/>
      <c r="L11" s="25"/>
      <c r="M11" s="18"/>
      <c r="N11" s="18"/>
      <c r="O11" s="18"/>
      <c r="P11" s="18"/>
      <c r="Q11" s="18"/>
      <c r="R11" s="17"/>
      <c r="S11" s="17"/>
      <c r="T11" s="17"/>
      <c r="U11" s="17"/>
    </row>
    <row r="12" spans="1:21" x14ac:dyDescent="0.3">
      <c r="A12" s="25" t="s">
        <v>18</v>
      </c>
      <c r="B12" s="18"/>
      <c r="C12" s="18"/>
      <c r="D12" s="18"/>
      <c r="E12" s="18"/>
      <c r="F12" s="28"/>
      <c r="G12" s="19"/>
      <c r="H12" s="18"/>
      <c r="I12" s="28"/>
      <c r="J12" s="18"/>
      <c r="K12" s="19"/>
      <c r="L12" s="25"/>
      <c r="M12" s="18"/>
      <c r="N12" s="18"/>
      <c r="O12" s="18"/>
      <c r="P12" s="18"/>
      <c r="Q12" s="18"/>
      <c r="R12" s="17"/>
      <c r="S12" s="17"/>
      <c r="T12" s="17"/>
      <c r="U12" s="17"/>
    </row>
    <row r="13" spans="1:21" x14ac:dyDescent="0.3">
      <c r="A13" s="18"/>
      <c r="B13" s="18"/>
      <c r="C13" s="18"/>
      <c r="D13" s="18"/>
      <c r="E13" s="18"/>
      <c r="F13" s="28"/>
      <c r="G13" s="19"/>
      <c r="H13" s="18"/>
      <c r="I13" s="28"/>
      <c r="J13" s="18"/>
      <c r="K13" s="19"/>
      <c r="L13" s="25"/>
      <c r="M13" s="18"/>
      <c r="N13" s="18"/>
      <c r="O13" s="18"/>
      <c r="P13" s="18"/>
      <c r="Q13" s="18"/>
      <c r="R13" s="17"/>
      <c r="S13" s="17"/>
      <c r="T13" s="17"/>
      <c r="U13" s="17"/>
    </row>
    <row r="14" spans="1:21" x14ac:dyDescent="0.3">
      <c r="A14" s="18"/>
      <c r="B14" s="18"/>
      <c r="C14" s="18"/>
      <c r="D14" s="18"/>
      <c r="E14" s="18"/>
      <c r="F14" s="20"/>
      <c r="G14" s="18"/>
      <c r="H14" s="19"/>
      <c r="I14" s="18"/>
      <c r="J14" s="18"/>
      <c r="K14" s="18"/>
      <c r="L14" s="18"/>
      <c r="M14" s="18"/>
      <c r="N14" s="18"/>
      <c r="O14" s="18"/>
      <c r="P14" s="18"/>
      <c r="Q14" s="18"/>
      <c r="R14" s="17"/>
      <c r="S14" s="17"/>
      <c r="T14" s="17"/>
      <c r="U14" s="17"/>
    </row>
    <row r="15" spans="1:21" x14ac:dyDescent="0.3">
      <c r="A15" s="18"/>
      <c r="B15" s="18"/>
      <c r="C15" s="18"/>
      <c r="D15" s="18"/>
      <c r="E15" s="18"/>
      <c r="F15" s="18"/>
      <c r="G15" s="18"/>
      <c r="H15" s="19"/>
      <c r="I15" s="18"/>
      <c r="J15" s="18"/>
      <c r="K15" s="18"/>
      <c r="L15" s="18"/>
      <c r="M15" s="18"/>
      <c r="N15" s="18"/>
      <c r="O15" s="18"/>
      <c r="P15" s="18"/>
      <c r="Q15" s="18"/>
      <c r="R15" s="17"/>
      <c r="S15" s="17"/>
      <c r="T15" s="17"/>
      <c r="U15" s="17"/>
    </row>
    <row r="16" spans="1:21" x14ac:dyDescent="0.3">
      <c r="A16" s="18"/>
      <c r="B16" s="18"/>
      <c r="C16" s="18"/>
      <c r="D16" s="18"/>
      <c r="E16" s="18"/>
      <c r="F16" s="18"/>
      <c r="G16" s="18"/>
      <c r="H16" s="19"/>
      <c r="I16" s="18"/>
      <c r="J16" s="18"/>
      <c r="K16" s="18"/>
      <c r="L16" s="18"/>
      <c r="M16" s="18"/>
      <c r="N16" s="18"/>
      <c r="O16" s="18"/>
      <c r="P16" s="18"/>
      <c r="Q16" s="18"/>
      <c r="R16" s="17"/>
      <c r="S16" s="17"/>
      <c r="T16" s="17"/>
      <c r="U16" s="17"/>
    </row>
    <row r="17" spans="1:21" x14ac:dyDescent="0.3">
      <c r="A17" s="18"/>
      <c r="B17" s="18" t="s">
        <v>23</v>
      </c>
      <c r="C17" s="18"/>
      <c r="D17" s="18"/>
      <c r="E17" s="18"/>
      <c r="F17" s="18"/>
      <c r="G17" s="18"/>
      <c r="H17" s="19"/>
      <c r="I17" s="18"/>
      <c r="J17" s="18"/>
      <c r="K17" s="18"/>
      <c r="L17" s="18"/>
      <c r="M17" s="18"/>
      <c r="N17" s="18"/>
      <c r="O17" s="18"/>
      <c r="P17" s="18"/>
      <c r="Q17" s="18"/>
      <c r="R17" s="17"/>
      <c r="S17" s="17"/>
      <c r="T17" s="17"/>
      <c r="U17" s="17"/>
    </row>
    <row r="18" spans="1:21" x14ac:dyDescent="0.3">
      <c r="A18" s="18"/>
      <c r="B18" s="25" t="s">
        <v>7</v>
      </c>
      <c r="C18" s="18"/>
      <c r="D18" s="18"/>
      <c r="E18" s="18"/>
      <c r="F18" s="18"/>
      <c r="G18" s="18"/>
      <c r="H18" s="19"/>
      <c r="I18" s="18"/>
      <c r="J18" s="18"/>
      <c r="K18" s="18"/>
      <c r="L18" s="18"/>
      <c r="M18" s="18"/>
      <c r="N18" s="18"/>
      <c r="O18" s="18"/>
      <c r="P18" s="18"/>
      <c r="Q18" s="18"/>
      <c r="R18" s="17"/>
      <c r="S18" s="17"/>
      <c r="T18" s="17"/>
      <c r="U18" s="17"/>
    </row>
    <row r="19" spans="1:21" x14ac:dyDescent="0.3">
      <c r="B19" s="25" t="s">
        <v>8</v>
      </c>
      <c r="C19" s="18"/>
      <c r="D19" s="18"/>
      <c r="E19" s="18"/>
      <c r="F19" s="18"/>
      <c r="G19" s="18"/>
      <c r="H19" s="19"/>
      <c r="I19" s="18"/>
      <c r="J19" s="18"/>
      <c r="K19" s="18"/>
      <c r="L19" s="18"/>
      <c r="M19" s="18"/>
      <c r="N19" s="18"/>
      <c r="O19" s="18"/>
      <c r="P19" s="18"/>
      <c r="Q19" s="18"/>
      <c r="R19" s="17"/>
      <c r="S19" s="17"/>
      <c r="T19" s="17"/>
      <c r="U19" s="17"/>
    </row>
    <row r="20" spans="1:21" x14ac:dyDescent="0.3">
      <c r="A20" s="18"/>
      <c r="B20" s="18"/>
      <c r="C20" s="18"/>
      <c r="D20" s="18"/>
      <c r="E20" s="18"/>
      <c r="F20" s="18"/>
      <c r="G20" s="18"/>
      <c r="H20" s="19"/>
      <c r="I20" s="18"/>
      <c r="J20" s="18"/>
      <c r="K20" s="18"/>
      <c r="L20" s="18"/>
      <c r="M20" s="18"/>
      <c r="N20" s="18"/>
      <c r="O20" s="18"/>
      <c r="P20" s="18"/>
      <c r="Q20" s="18"/>
      <c r="R20" s="17"/>
      <c r="S20" s="17"/>
      <c r="T20" s="17"/>
      <c r="U20" s="17"/>
    </row>
    <row r="21" spans="1:21" x14ac:dyDescent="0.3">
      <c r="A21" s="30" t="s">
        <v>13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7"/>
      <c r="U21" s="17"/>
    </row>
    <row r="22" spans="1:21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7"/>
      <c r="S22" s="17"/>
      <c r="T22" s="17"/>
      <c r="U22" s="17"/>
    </row>
    <row r="23" spans="1:21" x14ac:dyDescent="0.3">
      <c r="A23" s="18"/>
      <c r="B23" s="18"/>
      <c r="C23" s="18"/>
      <c r="D23" s="18"/>
      <c r="E23" s="18"/>
      <c r="F23" s="29"/>
      <c r="G23" s="18"/>
      <c r="H23" s="18"/>
      <c r="I23" s="21"/>
      <c r="J23" s="22"/>
      <c r="K23" s="18"/>
      <c r="L23" s="18"/>
      <c r="M23" s="21"/>
      <c r="N23" s="25"/>
      <c r="O23" s="25"/>
      <c r="P23" s="25"/>
      <c r="Q23" s="18"/>
      <c r="R23" s="17"/>
      <c r="S23" s="17"/>
      <c r="T23" s="17"/>
      <c r="U23" s="17"/>
    </row>
    <row r="24" spans="1:21" x14ac:dyDescent="0.3">
      <c r="A24" s="18"/>
      <c r="C24" s="18"/>
      <c r="D24" s="18"/>
      <c r="E24" s="18"/>
      <c r="F24" s="29"/>
      <c r="G24" s="18"/>
      <c r="H24" s="18"/>
      <c r="I24" s="18"/>
      <c r="J24" s="18"/>
      <c r="K24" s="25"/>
      <c r="L24" s="25"/>
      <c r="M24" s="18"/>
      <c r="N24" s="25"/>
      <c r="O24" s="25"/>
      <c r="P24" s="25"/>
      <c r="Q24" s="18"/>
      <c r="R24" s="17"/>
      <c r="S24" s="17"/>
      <c r="T24" s="17"/>
      <c r="U24" s="17"/>
    </row>
    <row r="25" spans="1:21" x14ac:dyDescent="0.3">
      <c r="A25" s="18"/>
      <c r="B25" s="18"/>
      <c r="C25" s="18"/>
      <c r="D25" s="18"/>
      <c r="E25" s="18"/>
      <c r="F25" s="29"/>
      <c r="G25" s="18"/>
      <c r="H25" s="18"/>
      <c r="I25" s="21"/>
      <c r="J25" s="18"/>
      <c r="K25" s="18"/>
      <c r="L25" s="18"/>
      <c r="M25" s="18"/>
      <c r="N25" s="18"/>
      <c r="O25" s="18"/>
      <c r="P25" s="18"/>
      <c r="Q25" s="18"/>
      <c r="R25" s="17"/>
      <c r="S25" s="17"/>
      <c r="T25" s="17"/>
      <c r="U25" s="17"/>
    </row>
    <row r="26" spans="1:21" x14ac:dyDescent="0.3">
      <c r="A26" s="18"/>
      <c r="C26" s="25"/>
      <c r="D26" s="18"/>
      <c r="E26" s="18"/>
      <c r="F26" s="29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7"/>
      <c r="S26" s="17"/>
      <c r="T26" s="17"/>
      <c r="U26" s="17"/>
    </row>
    <row r="27" spans="1:21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7"/>
      <c r="S27" s="17"/>
      <c r="T27" s="17"/>
      <c r="U27" s="17"/>
    </row>
    <row r="28" spans="1:21" x14ac:dyDescent="0.3">
      <c r="A28" s="18"/>
      <c r="C28" s="25"/>
      <c r="D28" s="18"/>
      <c r="E28" s="18"/>
      <c r="F28" s="18"/>
      <c r="G28" s="25"/>
      <c r="H28" s="25"/>
      <c r="I28" s="18"/>
      <c r="J28" s="18"/>
      <c r="K28" s="18"/>
      <c r="L28" s="18"/>
      <c r="M28" s="18"/>
      <c r="N28" s="25"/>
      <c r="O28" s="25"/>
      <c r="P28" s="25"/>
      <c r="Q28" s="25"/>
      <c r="R28" s="25"/>
      <c r="S28" s="25"/>
      <c r="T28" s="25"/>
      <c r="U28" s="25"/>
    </row>
    <row r="29" spans="1:21" x14ac:dyDescent="0.3">
      <c r="A29" s="18"/>
      <c r="B29" s="18"/>
      <c r="C29" s="18"/>
      <c r="D29" s="18"/>
      <c r="E29" s="18"/>
      <c r="F29" s="18"/>
      <c r="G29" s="25"/>
      <c r="H29" s="25"/>
      <c r="I29" s="18"/>
      <c r="J29" s="18"/>
      <c r="K29" s="18"/>
      <c r="L29" s="18"/>
      <c r="M29" s="18"/>
      <c r="N29" s="25"/>
      <c r="O29" s="25"/>
      <c r="P29" s="25"/>
      <c r="Q29" s="25"/>
      <c r="R29" s="17"/>
      <c r="S29" s="17"/>
      <c r="T29" s="17"/>
      <c r="U29" s="17"/>
    </row>
    <row r="30" spans="1:21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7"/>
      <c r="S30" s="17"/>
      <c r="T30" s="17"/>
      <c r="U30" s="17"/>
    </row>
    <row r="31" spans="1:21" x14ac:dyDescent="0.3">
      <c r="A31" s="18"/>
      <c r="B31" s="18"/>
      <c r="C31" s="18"/>
      <c r="D31" s="18"/>
      <c r="E31" s="18"/>
      <c r="F31" s="18"/>
      <c r="G31" s="25"/>
      <c r="H31" s="25"/>
      <c r="I31" s="25"/>
      <c r="J31" s="25"/>
      <c r="K31" s="25"/>
      <c r="L31" s="25"/>
      <c r="M31" s="18"/>
      <c r="N31" s="18"/>
      <c r="O31" s="18"/>
      <c r="P31" s="18"/>
      <c r="Q31" s="18"/>
      <c r="R31" s="17"/>
      <c r="S31" s="17"/>
      <c r="T31" s="17"/>
      <c r="U31" s="17"/>
    </row>
    <row r="32" spans="1:21" s="5" customFormat="1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</row>
    <row r="33" spans="1:19" x14ac:dyDescent="0.3">
      <c r="A33" s="30" t="s">
        <v>19</v>
      </c>
      <c r="B33" s="30"/>
    </row>
    <row r="34" spans="1:19" x14ac:dyDescent="0.3"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7"/>
      <c r="O34" s="17"/>
      <c r="P34" s="17"/>
      <c r="Q34" s="17"/>
      <c r="R34" s="17"/>
      <c r="S34" s="17"/>
    </row>
    <row r="35" spans="1:19" x14ac:dyDescent="0.3">
      <c r="C35" s="18"/>
      <c r="D35" s="18"/>
      <c r="E35" s="18"/>
      <c r="F35" s="18"/>
      <c r="G35" s="25"/>
      <c r="H35" s="25"/>
      <c r="I35" s="25"/>
      <c r="J35" s="25"/>
      <c r="K35" s="25"/>
      <c r="L35" s="18"/>
      <c r="M35" s="18"/>
      <c r="N35" s="17"/>
      <c r="O35" s="17"/>
      <c r="P35" s="17"/>
      <c r="Q35" s="17"/>
      <c r="R35" s="17"/>
      <c r="S35" s="17"/>
    </row>
    <row r="36" spans="1:19" x14ac:dyDescent="0.3">
      <c r="C36" s="18"/>
      <c r="D36" s="18"/>
      <c r="E36" s="18"/>
      <c r="F36" s="18"/>
      <c r="G36" s="25"/>
      <c r="H36" s="25"/>
      <c r="I36" s="25"/>
      <c r="J36" s="25"/>
      <c r="K36" s="25"/>
      <c r="L36" s="18"/>
      <c r="M36" s="18"/>
      <c r="N36" s="17"/>
      <c r="O36" s="17"/>
      <c r="P36" s="17"/>
      <c r="Q36" s="17"/>
      <c r="R36" s="17"/>
      <c r="S36" s="17"/>
    </row>
    <row r="37" spans="1:19" x14ac:dyDescent="0.3">
      <c r="C37" s="18"/>
      <c r="D37" s="18"/>
      <c r="E37" s="18"/>
      <c r="F37" s="18"/>
      <c r="G37" s="25"/>
      <c r="H37" s="18"/>
      <c r="I37" s="18"/>
      <c r="J37" s="18"/>
      <c r="K37" s="18"/>
      <c r="L37" s="18"/>
      <c r="M37" s="18"/>
      <c r="N37" s="17"/>
      <c r="O37" s="17"/>
      <c r="P37" s="17"/>
      <c r="Q37" s="17"/>
      <c r="R37" s="17"/>
      <c r="S37" s="17"/>
    </row>
    <row r="38" spans="1:19" x14ac:dyDescent="0.3"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7"/>
      <c r="O38" s="17"/>
      <c r="P38" s="17"/>
      <c r="Q38" s="17"/>
      <c r="R38" s="17"/>
      <c r="S38" s="17"/>
    </row>
    <row r="39" spans="1:19" x14ac:dyDescent="0.3">
      <c r="E39" s="2" t="s">
        <v>12</v>
      </c>
      <c r="J39" s="18"/>
      <c r="K39" s="18"/>
      <c r="L39" s="18"/>
      <c r="M39" s="18"/>
      <c r="N39" s="17"/>
      <c r="O39" s="17"/>
      <c r="P39" s="17"/>
      <c r="Q39" s="17"/>
      <c r="R39" s="17"/>
      <c r="S39" s="17"/>
    </row>
    <row r="40" spans="1:19" x14ac:dyDescent="0.3"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7"/>
      <c r="O40" s="17"/>
      <c r="P40" s="17"/>
      <c r="Q40" s="17"/>
      <c r="R40" s="17"/>
      <c r="S40" s="17"/>
    </row>
    <row r="41" spans="1:19" x14ac:dyDescent="0.3"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7"/>
      <c r="P41" s="17"/>
      <c r="Q41" s="17"/>
      <c r="R41" s="17"/>
      <c r="S41" s="17"/>
    </row>
    <row r="42" spans="1:19" x14ac:dyDescent="0.3">
      <c r="A42" s="30" t="s">
        <v>15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</row>
    <row r="43" spans="1:19" x14ac:dyDescent="0.3">
      <c r="C43" s="18"/>
      <c r="D43" s="18"/>
      <c r="E43" s="18"/>
      <c r="F43" s="18"/>
      <c r="G43" s="25"/>
      <c r="H43" s="25"/>
      <c r="I43" s="25"/>
      <c r="J43" s="25"/>
      <c r="K43" s="25"/>
      <c r="L43" s="18"/>
      <c r="M43" s="18"/>
      <c r="N43" s="17"/>
      <c r="O43" s="17"/>
      <c r="P43" s="17"/>
      <c r="Q43" s="17"/>
      <c r="R43" s="17"/>
      <c r="S43" s="17"/>
    </row>
    <row r="44" spans="1:19" x14ac:dyDescent="0.3">
      <c r="C44" s="18"/>
      <c r="D44" s="18"/>
      <c r="E44" s="18"/>
      <c r="F44" s="18"/>
      <c r="G44" s="25"/>
      <c r="H44" s="18"/>
      <c r="I44" s="18"/>
      <c r="J44" s="18"/>
      <c r="K44" s="18"/>
      <c r="L44" s="18"/>
      <c r="M44" s="18"/>
      <c r="N44" s="17"/>
      <c r="O44" s="17"/>
    </row>
    <row r="45" spans="1:19" x14ac:dyDescent="0.3">
      <c r="B45" s="5"/>
      <c r="C45" s="5"/>
      <c r="D45" s="5"/>
      <c r="E45" s="5"/>
      <c r="F45" s="5"/>
      <c r="G45" s="5"/>
      <c r="H45" s="5"/>
      <c r="I45" s="5"/>
      <c r="J45" s="5"/>
      <c r="K45" s="5"/>
      <c r="L45" s="18"/>
      <c r="M45" s="18"/>
      <c r="N45" s="17"/>
      <c r="O45" s="17"/>
    </row>
    <row r="46" spans="1:19" x14ac:dyDescent="0.3">
      <c r="L46" s="18"/>
      <c r="M46" s="18"/>
      <c r="N46" s="17"/>
      <c r="O46" s="17"/>
    </row>
    <row r="47" spans="1:19" x14ac:dyDescent="0.3">
      <c r="L47" s="18"/>
      <c r="M47" s="18"/>
      <c r="N47" s="17"/>
      <c r="O47" s="17"/>
    </row>
    <row r="48" spans="1:19" x14ac:dyDescent="0.3">
      <c r="D48" s="18"/>
      <c r="E48" s="18"/>
      <c r="F48" s="18"/>
      <c r="G48" s="18"/>
      <c r="H48" s="25"/>
      <c r="I48" s="25"/>
      <c r="J48" s="25"/>
      <c r="K48" s="25"/>
      <c r="L48" s="18"/>
      <c r="M48" s="18"/>
      <c r="N48" s="17"/>
      <c r="O48" s="17"/>
    </row>
    <row r="49" spans="3:15" x14ac:dyDescent="0.3">
      <c r="D49" s="18"/>
      <c r="E49" s="18"/>
      <c r="F49" s="18"/>
      <c r="G49" s="18"/>
      <c r="H49" s="25"/>
      <c r="I49" s="25"/>
      <c r="J49" s="25"/>
      <c r="K49" s="25"/>
      <c r="L49" s="18"/>
      <c r="M49" s="18"/>
      <c r="N49" s="17"/>
      <c r="O49" s="17"/>
    </row>
    <row r="50" spans="3:15" x14ac:dyDescent="0.3">
      <c r="D50" s="18"/>
      <c r="E50" s="18"/>
      <c r="F50" s="18"/>
      <c r="G50" s="18"/>
      <c r="H50" s="25"/>
      <c r="I50" s="18"/>
      <c r="J50" s="18"/>
      <c r="K50" s="18"/>
      <c r="L50" s="18"/>
      <c r="M50" s="18"/>
      <c r="N50" s="17"/>
      <c r="O50" s="17"/>
    </row>
    <row r="51" spans="3:15" x14ac:dyDescent="0.3"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7"/>
      <c r="O51" s="17"/>
    </row>
    <row r="52" spans="3:15" x14ac:dyDescent="0.3"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7"/>
      <c r="O52" s="17"/>
    </row>
    <row r="53" spans="3:15" x14ac:dyDescent="0.3"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7"/>
      <c r="O53" s="17"/>
    </row>
    <row r="54" spans="3:15" x14ac:dyDescent="0.3"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7"/>
      <c r="O54" s="17"/>
    </row>
    <row r="55" spans="3:15" x14ac:dyDescent="0.3">
      <c r="D55" s="27"/>
      <c r="E55" s="27"/>
      <c r="F55" s="27"/>
      <c r="G55" s="18"/>
      <c r="H55" s="25"/>
      <c r="I55" s="25"/>
      <c r="J55" s="25"/>
      <c r="K55" s="25"/>
      <c r="L55" s="18"/>
      <c r="M55" s="18"/>
      <c r="N55" s="17"/>
      <c r="O55" s="17"/>
    </row>
    <row r="56" spans="3:15" x14ac:dyDescent="0.3">
      <c r="D56" s="27"/>
      <c r="E56" s="27"/>
      <c r="F56" s="27"/>
      <c r="G56" s="18"/>
      <c r="H56" s="25"/>
      <c r="I56" s="25"/>
      <c r="J56" s="25"/>
      <c r="K56" s="25"/>
      <c r="L56" s="18"/>
      <c r="M56" s="18"/>
      <c r="N56" s="17"/>
      <c r="O56" s="17"/>
    </row>
    <row r="57" spans="3:15" x14ac:dyDescent="0.3">
      <c r="D57" s="18"/>
      <c r="E57" s="18"/>
      <c r="F57" s="18"/>
      <c r="G57" s="18"/>
      <c r="H57" s="18"/>
      <c r="I57" s="18"/>
      <c r="J57" s="18"/>
      <c r="K57" s="18"/>
      <c r="L57" s="25"/>
      <c r="M57" s="18"/>
      <c r="N57" s="17"/>
      <c r="O57" s="17"/>
    </row>
    <row r="58" spans="3:15" x14ac:dyDescent="0.3"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7"/>
      <c r="O58" s="17"/>
    </row>
    <row r="59" spans="3:15" x14ac:dyDescent="0.3"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7"/>
      <c r="O59" s="17"/>
    </row>
    <row r="60" spans="3:15" x14ac:dyDescent="0.3"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7"/>
      <c r="O60" s="17"/>
    </row>
    <row r="61" spans="3:15" ht="14.4" customHeight="1" x14ac:dyDescent="0.3">
      <c r="C61" s="27"/>
      <c r="D61" s="27"/>
      <c r="E61" s="27"/>
      <c r="F61" s="27"/>
      <c r="G61" s="18"/>
      <c r="H61" s="18"/>
      <c r="I61" s="18"/>
      <c r="J61" s="18"/>
      <c r="K61" s="18"/>
      <c r="L61" s="18"/>
      <c r="M61" s="18"/>
      <c r="N61" s="17"/>
      <c r="O61" s="17"/>
    </row>
    <row r="62" spans="3:15" x14ac:dyDescent="0.3">
      <c r="C62" s="27"/>
      <c r="D62" s="27"/>
      <c r="E62" s="27"/>
      <c r="F62" s="27"/>
      <c r="G62" s="18"/>
      <c r="H62" s="18"/>
      <c r="I62" s="18"/>
      <c r="J62" s="18"/>
      <c r="K62" s="18"/>
      <c r="L62" s="18"/>
      <c r="M62" s="18"/>
      <c r="N62" s="17"/>
      <c r="O62" s="17"/>
    </row>
    <row r="63" spans="3:15" x14ac:dyDescent="0.3"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7"/>
      <c r="O63" s="17"/>
    </row>
    <row r="64" spans="3:15" x14ac:dyDescent="0.3">
      <c r="C64" s="18"/>
      <c r="D64" s="18"/>
      <c r="E64" s="18"/>
      <c r="F64" s="18"/>
      <c r="G64" s="25"/>
      <c r="H64" s="25"/>
      <c r="I64" s="18"/>
      <c r="J64" s="18"/>
      <c r="K64" s="18"/>
      <c r="L64" s="18"/>
      <c r="M64" s="18"/>
      <c r="N64" s="17"/>
      <c r="O64" s="17"/>
    </row>
    <row r="65" spans="3:20" x14ac:dyDescent="0.3">
      <c r="C65" s="18"/>
      <c r="D65" s="18"/>
      <c r="E65" s="18"/>
      <c r="F65" s="18"/>
      <c r="G65" s="25"/>
      <c r="H65" s="25"/>
      <c r="I65" s="18"/>
      <c r="J65" s="18"/>
      <c r="K65" s="18"/>
      <c r="L65" s="18"/>
      <c r="M65" s="18"/>
      <c r="N65" s="17"/>
      <c r="O65" s="17"/>
    </row>
    <row r="66" spans="3:20" x14ac:dyDescent="0.3"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7"/>
      <c r="O66" s="17"/>
    </row>
    <row r="67" spans="3:20" x14ac:dyDescent="0.3"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7"/>
      <c r="O67" s="17"/>
    </row>
    <row r="68" spans="3:20" x14ac:dyDescent="0.3"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7"/>
      <c r="O68" s="17"/>
    </row>
    <row r="69" spans="3:20" x14ac:dyDescent="0.3"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7"/>
      <c r="O69" s="17"/>
    </row>
    <row r="70" spans="3:20" x14ac:dyDescent="0.3"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7"/>
      <c r="O70" s="17"/>
    </row>
    <row r="71" spans="3:20" x14ac:dyDescent="0.3"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</row>
    <row r="73" spans="3:20" s="5" customFormat="1" x14ac:dyDescent="0.3"/>
    <row r="76" spans="3:20" x14ac:dyDescent="0.3">
      <c r="K76" s="25"/>
      <c r="L76" s="18"/>
      <c r="M76" s="18"/>
      <c r="N76" s="18"/>
      <c r="O76" s="18"/>
      <c r="P76" s="18"/>
      <c r="Q76" s="18"/>
      <c r="R76" s="18"/>
      <c r="S76" s="18"/>
      <c r="T76" s="18"/>
    </row>
    <row r="77" spans="3:20" x14ac:dyDescent="0.3">
      <c r="K77" s="25"/>
      <c r="L77" s="18"/>
      <c r="M77" s="18"/>
      <c r="N77" s="18"/>
      <c r="O77" s="18"/>
      <c r="P77" s="18"/>
      <c r="Q77" s="18"/>
      <c r="R77" s="18"/>
      <c r="S77" s="18"/>
      <c r="T77" s="18"/>
    </row>
    <row r="78" spans="3:20" x14ac:dyDescent="0.3">
      <c r="K78" s="18"/>
      <c r="L78" s="18"/>
      <c r="M78" s="18"/>
      <c r="N78" s="18"/>
      <c r="O78" s="18"/>
      <c r="P78" s="18"/>
      <c r="Q78" s="18"/>
      <c r="R78" s="18"/>
      <c r="S78" s="18"/>
      <c r="T78" s="18"/>
    </row>
    <row r="79" spans="3:20" x14ac:dyDescent="0.3">
      <c r="K79" s="18"/>
      <c r="L79" s="18"/>
      <c r="M79" s="18"/>
      <c r="N79" s="18"/>
      <c r="O79" s="18"/>
      <c r="P79" s="18"/>
      <c r="Q79" s="18"/>
      <c r="R79" s="18"/>
      <c r="S79" s="18"/>
      <c r="T79" s="18"/>
    </row>
    <row r="80" spans="3:20" x14ac:dyDescent="0.3">
      <c r="K80" s="18"/>
      <c r="L80" s="18"/>
      <c r="M80" s="18"/>
      <c r="N80" s="18"/>
      <c r="O80" s="18"/>
      <c r="P80" s="18"/>
      <c r="Q80" s="18"/>
      <c r="R80" s="18"/>
      <c r="S80" s="18"/>
      <c r="T80" s="18"/>
    </row>
    <row r="81" spans="3:20" x14ac:dyDescent="0.3">
      <c r="K81" s="18"/>
      <c r="L81" s="18"/>
      <c r="M81" s="18"/>
      <c r="N81" s="18"/>
      <c r="O81" s="18"/>
      <c r="P81" s="18"/>
      <c r="Q81" s="18"/>
      <c r="R81" s="18"/>
      <c r="S81" s="18"/>
      <c r="T81" s="18"/>
    </row>
    <row r="82" spans="3:20" x14ac:dyDescent="0.3">
      <c r="K82" s="18"/>
      <c r="L82" s="18"/>
      <c r="M82" s="18"/>
      <c r="N82" s="18"/>
      <c r="O82" s="18"/>
      <c r="P82" s="18"/>
      <c r="Q82" s="18"/>
      <c r="R82" s="18"/>
      <c r="S82" s="18"/>
      <c r="T82" s="18"/>
    </row>
    <row r="83" spans="3:20" x14ac:dyDescent="0.3">
      <c r="K83" s="25"/>
      <c r="L83" s="18"/>
      <c r="M83" s="18"/>
      <c r="N83" s="18"/>
      <c r="O83" s="18"/>
      <c r="P83" s="18"/>
      <c r="Q83" s="18"/>
      <c r="R83" s="18"/>
      <c r="S83" s="18"/>
      <c r="T83" s="18"/>
    </row>
    <row r="84" spans="3:20" x14ac:dyDescent="0.3">
      <c r="K84" s="25"/>
      <c r="L84" s="18"/>
      <c r="M84" s="18"/>
      <c r="N84" s="18"/>
      <c r="O84" s="18"/>
      <c r="P84" s="18"/>
      <c r="Q84" s="18"/>
      <c r="R84" s="18"/>
      <c r="S84" s="18"/>
      <c r="T84" s="18"/>
    </row>
    <row r="85" spans="3:20" x14ac:dyDescent="0.3">
      <c r="K85" s="18"/>
      <c r="L85" s="18"/>
      <c r="M85" s="18"/>
      <c r="N85" s="18"/>
      <c r="O85" s="18"/>
      <c r="P85" s="18"/>
      <c r="Q85" s="18"/>
      <c r="R85" s="18"/>
      <c r="S85" s="18"/>
      <c r="T85" s="18"/>
    </row>
    <row r="86" spans="3:20" x14ac:dyDescent="0.3"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3:20" x14ac:dyDescent="0.3"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3:20" x14ac:dyDescent="0.3"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3:20" x14ac:dyDescent="0.3">
      <c r="C89" s="25"/>
      <c r="D89" s="25"/>
      <c r="E89" s="25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</row>
    <row r="90" spans="3:20" x14ac:dyDescent="0.3"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</row>
    <row r="91" spans="3:20" ht="14.4" customHeight="1" x14ac:dyDescent="0.3">
      <c r="C91" s="27"/>
      <c r="D91" s="27"/>
      <c r="E91" s="18"/>
      <c r="F91" s="18"/>
      <c r="G91" s="25"/>
      <c r="H91" s="25"/>
      <c r="I91" s="25"/>
      <c r="J91" s="25"/>
      <c r="K91" s="25"/>
      <c r="L91" s="18"/>
      <c r="M91" s="18"/>
      <c r="N91" s="18"/>
      <c r="O91" s="18"/>
      <c r="P91" s="18"/>
      <c r="Q91" s="18"/>
      <c r="R91" s="18"/>
      <c r="S91" s="18"/>
      <c r="T91" s="18"/>
    </row>
    <row r="92" spans="3:20" x14ac:dyDescent="0.3">
      <c r="C92" s="27"/>
      <c r="D92" s="27"/>
      <c r="E92" s="18"/>
      <c r="F92" s="18"/>
      <c r="G92" s="25"/>
      <c r="H92" s="25"/>
      <c r="I92" s="25"/>
      <c r="J92" s="25"/>
      <c r="K92" s="25"/>
      <c r="L92" s="18"/>
      <c r="M92" s="18"/>
      <c r="N92" s="18"/>
      <c r="O92" s="18"/>
      <c r="P92" s="18"/>
      <c r="Q92" s="18"/>
      <c r="R92" s="18"/>
      <c r="S92" s="18"/>
      <c r="T92" s="18"/>
    </row>
    <row r="93" spans="3:20" x14ac:dyDescent="0.3">
      <c r="C93" s="27"/>
      <c r="D93" s="27"/>
      <c r="E93" s="18"/>
      <c r="F93" s="18"/>
      <c r="G93" s="25"/>
      <c r="H93" s="25"/>
      <c r="I93" s="25"/>
      <c r="J93" s="25"/>
      <c r="K93" s="25"/>
      <c r="L93" s="18"/>
      <c r="M93" s="18"/>
      <c r="N93" s="18"/>
      <c r="O93" s="18"/>
      <c r="P93" s="18"/>
      <c r="Q93" s="18"/>
      <c r="R93" s="18"/>
      <c r="S93" s="18"/>
      <c r="T93" s="18"/>
    </row>
    <row r="94" spans="3:20" x14ac:dyDescent="0.3">
      <c r="C94" s="27"/>
      <c r="D94" s="27"/>
      <c r="E94" s="18"/>
      <c r="F94" s="18"/>
      <c r="G94" s="25"/>
      <c r="H94" s="25"/>
      <c r="I94" s="25"/>
      <c r="J94" s="25"/>
      <c r="K94" s="25"/>
      <c r="L94" s="18"/>
      <c r="M94" s="18"/>
      <c r="N94" s="18"/>
      <c r="O94" s="18"/>
      <c r="P94" s="18"/>
      <c r="Q94" s="18"/>
      <c r="R94" s="18"/>
      <c r="S94" s="18"/>
      <c r="T94" s="18"/>
    </row>
    <row r="95" spans="3:20" x14ac:dyDescent="0.3"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</row>
    <row r="96" spans="3:20" x14ac:dyDescent="0.3">
      <c r="C96" s="18"/>
      <c r="D96" s="27"/>
      <c r="E96" s="27"/>
      <c r="F96" s="27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</row>
    <row r="97" spans="3:20" x14ac:dyDescent="0.3">
      <c r="C97" s="18"/>
      <c r="D97" s="27"/>
      <c r="E97" s="27"/>
      <c r="F97" s="27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</row>
    <row r="98" spans="3:20" x14ac:dyDescent="0.3">
      <c r="C98" s="18"/>
      <c r="D98" s="27"/>
      <c r="E98" s="27"/>
      <c r="F98" s="27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</row>
    <row r="99" spans="3:20" x14ac:dyDescent="0.3"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</row>
    <row r="100" spans="3:20" x14ac:dyDescent="0.3"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</row>
    <row r="101" spans="3:20" x14ac:dyDescent="0.3">
      <c r="C101" s="18"/>
      <c r="D101" s="27"/>
      <c r="E101" s="27"/>
      <c r="F101" s="27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</row>
    <row r="102" spans="3:20" x14ac:dyDescent="0.3">
      <c r="C102" s="18"/>
      <c r="D102" s="27"/>
      <c r="E102" s="27"/>
      <c r="F102" s="27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</row>
    <row r="103" spans="3:20" x14ac:dyDescent="0.3">
      <c r="C103" s="18"/>
      <c r="D103" s="27"/>
      <c r="E103" s="27"/>
      <c r="F103" s="27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</row>
    <row r="104" spans="3:20" x14ac:dyDescent="0.3">
      <c r="C104" s="18"/>
      <c r="D104" s="27"/>
      <c r="E104" s="27"/>
      <c r="F104" s="27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</row>
    <row r="105" spans="3:20" x14ac:dyDescent="0.3"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</row>
    <row r="106" spans="3:20" x14ac:dyDescent="0.3"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</row>
    <row r="107" spans="3:20" x14ac:dyDescent="0.3"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</row>
    <row r="108" spans="3:20" x14ac:dyDescent="0.3"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</row>
    <row r="109" spans="3:20" x14ac:dyDescent="0.3"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</row>
    <row r="110" spans="3:20" x14ac:dyDescent="0.3"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</row>
    <row r="111" spans="3:20" x14ac:dyDescent="0.3"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</row>
    <row r="112" spans="3:20" x14ac:dyDescent="0.3"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</row>
    <row r="113" spans="3:20" x14ac:dyDescent="0.3"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</row>
    <row r="114" spans="3:20" x14ac:dyDescent="0.3"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</row>
    <row r="115" spans="3:20" x14ac:dyDescent="0.3"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</row>
    <row r="116" spans="3:20" x14ac:dyDescent="0.3"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</row>
    <row r="117" spans="3:20" x14ac:dyDescent="0.3"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</row>
    <row r="118" spans="3:20" x14ac:dyDescent="0.3"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</row>
    <row r="119" spans="3:20" x14ac:dyDescent="0.3"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</row>
    <row r="120" spans="3:20" x14ac:dyDescent="0.3"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</row>
    <row r="121" spans="3:20" x14ac:dyDescent="0.3"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</row>
  </sheetData>
  <mergeCells count="4">
    <mergeCell ref="A1:S1"/>
    <mergeCell ref="A42:S42"/>
    <mergeCell ref="A21:S21"/>
    <mergeCell ref="A33:B3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Таблички</vt:lpstr>
      <vt:lpstr>Формулы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Артем Харкевич</cp:lastModifiedBy>
  <dcterms:created xsi:type="dcterms:W3CDTF">2023-02-14T19:36:23Z</dcterms:created>
  <dcterms:modified xsi:type="dcterms:W3CDTF">2025-02-12T14:01:24Z</dcterms:modified>
</cp:coreProperties>
</file>