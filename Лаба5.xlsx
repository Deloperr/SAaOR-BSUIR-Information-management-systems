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090B74D7-DDCC-4238-A713-5D529781D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solver_adj" localSheetId="0" hidden="1">Лист1!$C$44:$F$44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Лист1!$C$44:$F$44</definedName>
    <definedName name="solver_lhs2" localSheetId="0" hidden="1">Лист1!$C$46</definedName>
    <definedName name="solver_lhs3" localSheetId="0" hidden="1">Лист1!$C$47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Лист1!$C$45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2</definedName>
    <definedName name="solver_rhs1" localSheetId="0" hidden="1">0</definedName>
    <definedName name="solver_rhs2" localSheetId="0" hidden="1">Лист1!$F$46</definedName>
    <definedName name="solver_rhs3" localSheetId="0" hidden="1">Лист1!$F$47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  <c r="D37" i="1"/>
  <c r="C36" i="1"/>
  <c r="D50" i="1" l="1"/>
  <c r="E50" i="1"/>
  <c r="F50" i="1"/>
  <c r="C50" i="1"/>
  <c r="C28" i="1"/>
  <c r="M9" i="1"/>
  <c r="N9" i="1"/>
  <c r="O9" i="1"/>
  <c r="U10" i="1" s="1"/>
  <c r="L9" i="1"/>
  <c r="R10" i="1" s="1"/>
  <c r="I9" i="1"/>
  <c r="J9" i="1"/>
  <c r="K9" i="1"/>
  <c r="H9" i="1"/>
  <c r="R9" i="1"/>
  <c r="E9" i="1"/>
  <c r="F9" i="1"/>
  <c r="G9" i="1"/>
  <c r="D9" i="1"/>
  <c r="C47" i="1"/>
  <c r="S8" i="1"/>
  <c r="T8" i="1"/>
  <c r="U8" i="1"/>
  <c r="S9" i="1"/>
  <c r="T9" i="1"/>
  <c r="U9" i="1"/>
  <c r="S10" i="1"/>
  <c r="T10" i="1"/>
  <c r="D38" i="1" s="1"/>
  <c r="R8" i="1"/>
  <c r="F38" i="1" l="1"/>
  <c r="D39" i="1"/>
  <c r="E37" i="1"/>
  <c r="C39" i="1"/>
  <c r="C37" i="1"/>
  <c r="C38" i="1"/>
  <c r="E39" i="1"/>
  <c r="F36" i="1"/>
  <c r="D36" i="1"/>
  <c r="E36" i="1"/>
  <c r="C14" i="1" l="1"/>
  <c r="C19" i="1"/>
  <c r="F39" i="1" s="1"/>
  <c r="C13" i="1"/>
  <c r="C24" i="1"/>
  <c r="C18" i="1"/>
  <c r="E38" i="1" s="1"/>
  <c r="C11" i="1"/>
  <c r="C16" i="1"/>
  <c r="C12" i="1"/>
  <c r="C17" i="1"/>
  <c r="C23" i="1"/>
  <c r="C46" i="1" l="1"/>
  <c r="C45" i="1"/>
</calcChain>
</file>

<file path=xl/sharedStrings.xml><?xml version="1.0" encoding="utf-8"?>
<sst xmlns="http://schemas.openxmlformats.org/spreadsheetml/2006/main" count="86" uniqueCount="46">
  <si>
    <t>Покупка</t>
  </si>
  <si>
    <t>Продажа</t>
  </si>
  <si>
    <t>1-й месяц</t>
  </si>
  <si>
    <t>2-й месяц</t>
  </si>
  <si>
    <t>3-й месяц</t>
  </si>
  <si>
    <t>T1</t>
  </si>
  <si>
    <t>T2</t>
  </si>
  <si>
    <t>T3</t>
  </si>
  <si>
    <t>T4</t>
  </si>
  <si>
    <t>Выбор единственного решения</t>
  </si>
  <si>
    <t>Удельная эффект.</t>
  </si>
  <si>
    <t>E1</t>
  </si>
  <si>
    <t>E2</t>
  </si>
  <si>
    <t>E3</t>
  </si>
  <si>
    <t>E4</t>
  </si>
  <si>
    <t>Е1</t>
  </si>
  <si>
    <t>Е2</t>
  </si>
  <si>
    <t>Е3</t>
  </si>
  <si>
    <t>Е4</t>
  </si>
  <si>
    <t>V1</t>
  </si>
  <si>
    <t>V2</t>
  </si>
  <si>
    <t>V3</t>
  </si>
  <si>
    <t>V4</t>
  </si>
  <si>
    <t>допустимое решение для закупки и продажи товара</t>
  </si>
  <si>
    <t>Решение с минимальным риском:</t>
  </si>
  <si>
    <t>Выбор комбинации решений</t>
  </si>
  <si>
    <t>Т1</t>
  </si>
  <si>
    <t>Т2</t>
  </si>
  <si>
    <t>Т3</t>
  </si>
  <si>
    <t>Т4</t>
  </si>
  <si>
    <t>Решение</t>
  </si>
  <si>
    <t>Целевая функция</t>
  </si>
  <si>
    <t>Ограничения</t>
  </si>
  <si>
    <t>min</t>
  </si>
  <si>
    <t>ср. знач удельных эффективностей</t>
  </si>
  <si>
    <t>Дисперсия</t>
  </si>
  <si>
    <t>ковариация</t>
  </si>
  <si>
    <t>Математическая модель</t>
  </si>
  <si>
    <t>X1</t>
  </si>
  <si>
    <t>X2</t>
  </si>
  <si>
    <t>X3</t>
  </si>
  <si>
    <t>X4</t>
  </si>
  <si>
    <t>Хранение</t>
  </si>
  <si>
    <t>оценка риска</t>
  </si>
  <si>
    <t>минимальный риск</t>
  </si>
  <si>
    <t>эффективность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</si>
</sst>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8"/>
      </left>
      <right style="double">
        <color theme="8"/>
      </right>
      <top style="double">
        <color theme="8"/>
      </top>
      <bottom style="double">
        <color theme="8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9" xfId="0" applyBorder="1"/>
    <xf numFmtId="0" fontId="0" fillId="2" borderId="9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/>
    <xf numFmtId="0" fontId="0" fillId="0" borderId="12" xfId="0" applyBorder="1"/>
    <xf numFmtId="9" fontId="0" fillId="0" borderId="12" xfId="1" applyFont="1" applyBorder="1"/>
    <xf numFmtId="0" fontId="3" fillId="0" borderId="1" xfId="0" applyFont="1" applyBorder="1" applyAlignment="1">
      <alignment horizontal="center" vertical="center" wrapText="1"/>
    </xf>
    <xf numFmtId="0" fontId="4" fillId="3" borderId="0" xfId="0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zoomScaleNormal="100" workbookViewId="0">
      <selection activeCell="E44" sqref="E44"/>
    </sheetView>
  </sheetViews>
  <sheetFormatPr defaultRowHeight="14.4" x14ac:dyDescent="0.3"/>
  <cols>
    <col min="3" max="3" width="9.44140625" bestFit="1" customWidth="1"/>
  </cols>
  <sheetData>
    <row r="1" spans="2:22" x14ac:dyDescent="0.3">
      <c r="B1" t="s">
        <v>9</v>
      </c>
    </row>
    <row r="2" spans="2:22" x14ac:dyDescent="0.3">
      <c r="B2" s="17"/>
      <c r="C2" s="18"/>
      <c r="D2" s="14" t="s">
        <v>2</v>
      </c>
      <c r="E2" s="16"/>
      <c r="F2" s="16"/>
      <c r="G2" s="15"/>
      <c r="H2" s="14" t="s">
        <v>3</v>
      </c>
      <c r="I2" s="16"/>
      <c r="J2" s="16"/>
      <c r="K2" s="15"/>
      <c r="L2" s="14" t="s">
        <v>4</v>
      </c>
      <c r="M2" s="16"/>
      <c r="N2" s="16"/>
      <c r="O2" s="15"/>
      <c r="R2" s="9"/>
      <c r="S2" s="10" t="s">
        <v>26</v>
      </c>
      <c r="T2" s="10" t="s">
        <v>27</v>
      </c>
      <c r="U2" s="10" t="s">
        <v>28</v>
      </c>
      <c r="V2" s="10" t="s">
        <v>29</v>
      </c>
    </row>
    <row r="3" spans="2:22" x14ac:dyDescent="0.3">
      <c r="B3" s="19"/>
      <c r="C3" s="20"/>
      <c r="D3" s="1" t="s">
        <v>5</v>
      </c>
      <c r="E3" s="1" t="s">
        <v>6</v>
      </c>
      <c r="F3" s="1" t="s">
        <v>7</v>
      </c>
      <c r="G3" s="1" t="s">
        <v>8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5</v>
      </c>
      <c r="M3" s="1" t="s">
        <v>6</v>
      </c>
      <c r="N3" s="1" t="s">
        <v>7</v>
      </c>
      <c r="O3" s="1" t="s">
        <v>8</v>
      </c>
      <c r="R3" s="26" t="s">
        <v>42</v>
      </c>
      <c r="S3" s="21">
        <v>6</v>
      </c>
      <c r="T3" s="21">
        <v>8</v>
      </c>
      <c r="U3" s="21">
        <v>10</v>
      </c>
      <c r="V3" s="21">
        <v>10</v>
      </c>
    </row>
    <row r="4" spans="2:22" x14ac:dyDescent="0.3">
      <c r="B4" s="14" t="s">
        <v>0</v>
      </c>
      <c r="C4" s="15"/>
      <c r="D4" s="1">
        <v>70</v>
      </c>
      <c r="E4" s="1">
        <v>40</v>
      </c>
      <c r="F4" s="1">
        <v>90</v>
      </c>
      <c r="G4" s="1">
        <v>80</v>
      </c>
      <c r="H4" s="1">
        <v>80</v>
      </c>
      <c r="I4" s="1">
        <v>50</v>
      </c>
      <c r="J4" s="1">
        <v>90</v>
      </c>
      <c r="K4" s="1">
        <v>80</v>
      </c>
      <c r="L4" s="1">
        <v>80</v>
      </c>
      <c r="M4" s="1">
        <v>50</v>
      </c>
      <c r="N4" s="1">
        <v>80</v>
      </c>
      <c r="O4" s="1">
        <v>80</v>
      </c>
      <c r="R4" s="26"/>
      <c r="S4" s="22"/>
      <c r="T4" s="22"/>
      <c r="U4" s="22"/>
      <c r="V4" s="22"/>
    </row>
    <row r="5" spans="2:22" x14ac:dyDescent="0.3">
      <c r="B5" s="13" t="s">
        <v>1</v>
      </c>
      <c r="C5" s="13"/>
      <c r="D5" s="1">
        <v>80</v>
      </c>
      <c r="E5" s="1">
        <v>60</v>
      </c>
      <c r="F5" s="1">
        <v>110</v>
      </c>
      <c r="G5" s="1">
        <v>95</v>
      </c>
      <c r="H5" s="1">
        <v>85</v>
      </c>
      <c r="I5" s="1">
        <v>70</v>
      </c>
      <c r="J5" s="1">
        <v>115</v>
      </c>
      <c r="K5" s="1">
        <v>100</v>
      </c>
      <c r="L5" s="1">
        <v>85</v>
      </c>
      <c r="M5" s="1">
        <v>75</v>
      </c>
      <c r="N5" s="1">
        <v>110</v>
      </c>
      <c r="O5" s="1">
        <v>100</v>
      </c>
    </row>
    <row r="7" spans="2:22" x14ac:dyDescent="0.3">
      <c r="B7" s="13"/>
      <c r="C7" s="13"/>
      <c r="D7" s="13" t="s">
        <v>2</v>
      </c>
      <c r="E7" s="13"/>
      <c r="F7" s="13"/>
      <c r="G7" s="13"/>
      <c r="H7" s="13" t="s">
        <v>3</v>
      </c>
      <c r="I7" s="13"/>
      <c r="J7" s="13"/>
      <c r="K7" s="13"/>
      <c r="L7" s="13" t="s">
        <v>4</v>
      </c>
      <c r="M7" s="13"/>
      <c r="N7" s="13"/>
      <c r="O7" s="13"/>
      <c r="R7" s="5" t="s">
        <v>26</v>
      </c>
      <c r="S7" s="5" t="s">
        <v>27</v>
      </c>
      <c r="T7" s="5" t="s">
        <v>28</v>
      </c>
      <c r="U7" s="5" t="s">
        <v>29</v>
      </c>
    </row>
    <row r="8" spans="2:22" x14ac:dyDescent="0.3">
      <c r="B8" s="13"/>
      <c r="C8" s="13"/>
      <c r="D8" s="1" t="s">
        <v>11</v>
      </c>
      <c r="E8" s="1" t="s">
        <v>12</v>
      </c>
      <c r="F8" s="1" t="s">
        <v>13</v>
      </c>
      <c r="G8" s="1" t="s">
        <v>14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11</v>
      </c>
      <c r="M8" s="1" t="s">
        <v>12</v>
      </c>
      <c r="N8" s="1" t="s">
        <v>13</v>
      </c>
      <c r="O8" s="1" t="s">
        <v>14</v>
      </c>
      <c r="R8" s="5">
        <f>D9</f>
        <v>1.0526315789473684</v>
      </c>
      <c r="S8" s="5">
        <f t="shared" ref="S8:U8" si="0">E9</f>
        <v>1.25</v>
      </c>
      <c r="T8" s="5">
        <f t="shared" si="0"/>
        <v>1.1000000000000001</v>
      </c>
      <c r="U8" s="5">
        <f t="shared" si="0"/>
        <v>1.0555555555555556</v>
      </c>
    </row>
    <row r="9" spans="2:22" x14ac:dyDescent="0.3">
      <c r="B9" s="13" t="s">
        <v>10</v>
      </c>
      <c r="C9" s="13"/>
      <c r="D9" s="1">
        <f>D5/(D4+S3)</f>
        <v>1.0526315789473684</v>
      </c>
      <c r="E9" s="1">
        <f t="shared" ref="E9:G9" si="1">E5/(E4+T3)</f>
        <v>1.25</v>
      </c>
      <c r="F9" s="1">
        <f t="shared" si="1"/>
        <v>1.1000000000000001</v>
      </c>
      <c r="G9" s="1">
        <f t="shared" si="1"/>
        <v>1.0555555555555556</v>
      </c>
      <c r="H9" s="1">
        <f>H5/(H4+S3)</f>
        <v>0.98837209302325579</v>
      </c>
      <c r="I9" s="1">
        <f t="shared" ref="I9:K9" si="2">I5/(I4+T3)</f>
        <v>1.2068965517241379</v>
      </c>
      <c r="J9" s="1">
        <f t="shared" si="2"/>
        <v>1.1499999999999999</v>
      </c>
      <c r="K9" s="1">
        <f t="shared" si="2"/>
        <v>1.1111111111111112</v>
      </c>
      <c r="L9" s="1">
        <f>L5/(L4+S3)</f>
        <v>0.98837209302325579</v>
      </c>
      <c r="M9" s="1">
        <f t="shared" ref="M9:O9" si="3">M5/(M4+T3)</f>
        <v>1.2931034482758621</v>
      </c>
      <c r="N9" s="1">
        <f t="shared" si="3"/>
        <v>1.2222222222222223</v>
      </c>
      <c r="O9" s="1">
        <f t="shared" si="3"/>
        <v>1.1111111111111112</v>
      </c>
      <c r="R9" s="5">
        <f>H9</f>
        <v>0.98837209302325579</v>
      </c>
      <c r="S9" s="5">
        <f t="shared" ref="S9:U9" si="4">I9</f>
        <v>1.2068965517241379</v>
      </c>
      <c r="T9" s="5">
        <f t="shared" si="4"/>
        <v>1.1499999999999999</v>
      </c>
      <c r="U9" s="5">
        <f t="shared" si="4"/>
        <v>1.1111111111111112</v>
      </c>
    </row>
    <row r="10" spans="2:22" x14ac:dyDescent="0.3">
      <c r="R10" s="5">
        <f>L9</f>
        <v>0.98837209302325579</v>
      </c>
      <c r="S10" s="5">
        <f t="shared" ref="S10:U10" si="5">M9</f>
        <v>1.2931034482758621</v>
      </c>
      <c r="T10" s="5">
        <f t="shared" si="5"/>
        <v>1.2222222222222223</v>
      </c>
      <c r="U10" s="5">
        <f t="shared" si="5"/>
        <v>1.1111111111111112</v>
      </c>
    </row>
    <row r="11" spans="2:22" x14ac:dyDescent="0.3">
      <c r="B11" s="1" t="s">
        <v>15</v>
      </c>
      <c r="C11" s="1">
        <f>(D9+H9+L9)/3</f>
        <v>1.0097919216646265</v>
      </c>
    </row>
    <row r="12" spans="2:22" x14ac:dyDescent="0.3">
      <c r="B12" s="1" t="s">
        <v>16</v>
      </c>
      <c r="C12" s="1">
        <f>(E9+I9+M9)/3</f>
        <v>1.25</v>
      </c>
    </row>
    <row r="13" spans="2:22" x14ac:dyDescent="0.3">
      <c r="B13" s="1" t="s">
        <v>17</v>
      </c>
      <c r="C13" s="1">
        <f>(F9+J9+N9)/3</f>
        <v>1.1574074074074074</v>
      </c>
      <c r="D13" t="s">
        <v>34</v>
      </c>
    </row>
    <row r="14" spans="2:22" x14ac:dyDescent="0.3">
      <c r="B14" s="1" t="s">
        <v>18</v>
      </c>
      <c r="C14" s="1">
        <f>(G9+K9+O9)/3</f>
        <v>1.0925925925925928</v>
      </c>
    </row>
    <row r="15" spans="2:22" x14ac:dyDescent="0.3">
      <c r="B15" t="s">
        <v>35</v>
      </c>
    </row>
    <row r="16" spans="2:22" x14ac:dyDescent="0.3">
      <c r="B16" t="s">
        <v>19</v>
      </c>
      <c r="C16">
        <f>_xlfn.VAR.S(D9,H9,L9,C11)</f>
        <v>9.1761811805138262E-4</v>
      </c>
    </row>
    <row r="17" spans="1:22" x14ac:dyDescent="0.3">
      <c r="B17" t="s">
        <v>20</v>
      </c>
      <c r="C17" s="2">
        <f>_xlfn.VAR.S(E9,I9,M9,C12)</f>
        <v>1.2386048355132796E-3</v>
      </c>
      <c r="F17" t="s">
        <v>43</v>
      </c>
    </row>
    <row r="18" spans="1:22" x14ac:dyDescent="0.3">
      <c r="B18" t="s">
        <v>21</v>
      </c>
      <c r="C18" s="23">
        <f>_xlfn.VAR.S(F9,J9,N9,C13)</f>
        <v>2.5171467764060372E-3</v>
      </c>
    </row>
    <row r="19" spans="1:22" x14ac:dyDescent="0.3">
      <c r="B19" t="s">
        <v>22</v>
      </c>
      <c r="C19">
        <f>_xlfn.VAR.S(G9,K9,O9,C14)</f>
        <v>6.8587105624142721E-4</v>
      </c>
    </row>
    <row r="21" spans="1:22" x14ac:dyDescent="0.3">
      <c r="B21" s="27" t="s">
        <v>15</v>
      </c>
      <c r="C21" s="27">
        <v>1.1000000000000001</v>
      </c>
      <c r="D21" t="s">
        <v>23</v>
      </c>
    </row>
    <row r="23" spans="1:22" x14ac:dyDescent="0.3">
      <c r="B23" s="1" t="s">
        <v>16</v>
      </c>
      <c r="C23" s="1">
        <f>(E9+I9+M9)/3</f>
        <v>1.25</v>
      </c>
    </row>
    <row r="24" spans="1:22" x14ac:dyDescent="0.3">
      <c r="B24" s="1" t="s">
        <v>17</v>
      </c>
      <c r="C24" s="1">
        <f>(F9+J9+N9)/3</f>
        <v>1.1574074074074074</v>
      </c>
    </row>
    <row r="27" spans="1:22" x14ac:dyDescent="0.3">
      <c r="B27" t="s">
        <v>24</v>
      </c>
    </row>
    <row r="28" spans="1:22" x14ac:dyDescent="0.3">
      <c r="A28" s="3"/>
      <c r="B28" s="4" t="s">
        <v>20</v>
      </c>
      <c r="C28" s="4">
        <f>C17</f>
        <v>1.2386048355132796E-3</v>
      </c>
      <c r="D28" s="3"/>
      <c r="E28" s="3"/>
      <c r="F28" s="3"/>
      <c r="G28" s="3"/>
      <c r="H28" s="3" t="s">
        <v>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3">
      <c r="B29" t="s">
        <v>25</v>
      </c>
    </row>
    <row r="35" spans="2:8" x14ac:dyDescent="0.3">
      <c r="B35" s="1"/>
      <c r="C35" s="1" t="s">
        <v>5</v>
      </c>
      <c r="D35" s="1" t="s">
        <v>6</v>
      </c>
      <c r="E35" s="1" t="s">
        <v>7</v>
      </c>
      <c r="F35" s="1" t="s">
        <v>8</v>
      </c>
    </row>
    <row r="36" spans="2:8" x14ac:dyDescent="0.3">
      <c r="B36" s="1" t="s">
        <v>5</v>
      </c>
      <c r="C36" s="1">
        <f>C16</f>
        <v>9.1761811805138262E-4</v>
      </c>
      <c r="D36" s="1">
        <f>COVAR(R8:R10,S8:S10)</f>
        <v>0</v>
      </c>
      <c r="E36" s="1">
        <f>COVAR(R8:R10,T8:T10)</f>
        <v>-1.2296568294120293E-3</v>
      </c>
      <c r="F36" s="1">
        <f>COVAR(R8:R10,U8:U10)</f>
        <v>-7.9332698671743954E-4</v>
      </c>
      <c r="G36" t="s">
        <v>36</v>
      </c>
    </row>
    <row r="37" spans="2:8" x14ac:dyDescent="0.3">
      <c r="B37" s="1" t="s">
        <v>6</v>
      </c>
      <c r="C37" s="1">
        <f>COVAR(S8:S10,R8:R10)</f>
        <v>0</v>
      </c>
      <c r="D37" s="1">
        <f>C17</f>
        <v>1.2386048355132796E-3</v>
      </c>
      <c r="E37" s="1">
        <f>COVAR(S8:S10,T8:T10)</f>
        <v>1.0376756066411274E-3</v>
      </c>
      <c r="F37" s="1">
        <f>COVAR(S8:S10,U8:U10)</f>
        <v>0</v>
      </c>
    </row>
    <row r="38" spans="2:8" x14ac:dyDescent="0.3">
      <c r="B38" s="1" t="s">
        <v>7</v>
      </c>
      <c r="C38" s="1">
        <f>COVAR(T8:T10,R8:R10)</f>
        <v>-1.2296568294120293E-3</v>
      </c>
      <c r="D38" s="1">
        <f>COVAR(T8:T10,S8:S10)</f>
        <v>1.0376756066411274E-3</v>
      </c>
      <c r="E38" s="1">
        <f>C18</f>
        <v>2.5171467764060372E-3</v>
      </c>
      <c r="F38" s="1">
        <f>COVAR(T8:T10,U8:U10)</f>
        <v>1.0631001371742106E-3</v>
      </c>
    </row>
    <row r="39" spans="2:8" x14ac:dyDescent="0.3">
      <c r="B39" s="1" t="s">
        <v>8</v>
      </c>
      <c r="C39" s="1">
        <f>COVAR(U8:U10,R8:R10)</f>
        <v>-7.9332698671743954E-4</v>
      </c>
      <c r="D39" s="1">
        <f>COVAR(U8:U10,S8:S10)</f>
        <v>0</v>
      </c>
      <c r="E39" s="1">
        <f>COVAR(U8:U10,T8:T10)</f>
        <v>1.0631001371742106E-3</v>
      </c>
      <c r="F39" s="1">
        <f>C19</f>
        <v>6.8587105624142721E-4</v>
      </c>
    </row>
    <row r="42" spans="2:8" x14ac:dyDescent="0.3">
      <c r="B42" t="s">
        <v>37</v>
      </c>
    </row>
    <row r="43" spans="2:8" x14ac:dyDescent="0.3">
      <c r="B43" s="8"/>
      <c r="C43" s="8" t="s">
        <v>26</v>
      </c>
      <c r="D43" s="8" t="s">
        <v>27</v>
      </c>
      <c r="E43" s="8" t="s">
        <v>28</v>
      </c>
      <c r="F43" s="8" t="s">
        <v>29</v>
      </c>
    </row>
    <row r="44" spans="2:8" x14ac:dyDescent="0.3">
      <c r="B44" s="6" t="s">
        <v>30</v>
      </c>
      <c r="C44" s="11">
        <v>0.32634673252359381</v>
      </c>
      <c r="D44" s="11">
        <v>0.21872627550869622</v>
      </c>
      <c r="E44" s="11">
        <v>0</v>
      </c>
      <c r="F44" s="11">
        <v>0.45492699435535744</v>
      </c>
    </row>
    <row r="45" spans="2:8" ht="28.8" x14ac:dyDescent="0.3">
      <c r="B45" s="7" t="s">
        <v>31</v>
      </c>
      <c r="C45" s="12">
        <f>C36*C44^2+D36*C44*D44*2+E36*C44*E44*2+F36*C44*F44*2+D37*D44^2+E37*D44*E44*2+F37*D44*F44*2+E38*E44^2+F38*E44*F44*2+F39*F44^2</f>
        <v>6.3370656107749251E-5</v>
      </c>
      <c r="D45" s="11"/>
      <c r="E45" s="11"/>
      <c r="F45" s="11" t="s">
        <v>33</v>
      </c>
      <c r="H45" t="s">
        <v>44</v>
      </c>
    </row>
    <row r="46" spans="2:8" x14ac:dyDescent="0.3">
      <c r="B46" s="6" t="s">
        <v>32</v>
      </c>
      <c r="C46" s="11">
        <f>C44*C11+D44*C12+E44*C13+F44*C14</f>
        <v>1.1000000027529178</v>
      </c>
      <c r="D46" s="11"/>
      <c r="E46" s="11"/>
      <c r="F46" s="11">
        <v>1.1000000000000001</v>
      </c>
      <c r="H46" t="s">
        <v>45</v>
      </c>
    </row>
    <row r="47" spans="2:8" x14ac:dyDescent="0.3">
      <c r="B47" s="8"/>
      <c r="C47" s="11">
        <f>C44+D44+E44+F44</f>
        <v>1.0000000023876474</v>
      </c>
      <c r="D47" s="11"/>
      <c r="E47" s="11"/>
      <c r="F47" s="11">
        <v>1</v>
      </c>
    </row>
    <row r="48" spans="2:8" ht="15" thickBot="1" x14ac:dyDescent="0.35"/>
    <row r="49" spans="3:6" ht="15.6" thickTop="1" thickBot="1" x14ac:dyDescent="0.35">
      <c r="C49" s="24" t="s">
        <v>38</v>
      </c>
      <c r="D49" s="24" t="s">
        <v>39</v>
      </c>
      <c r="E49" s="24" t="s">
        <v>40</v>
      </c>
      <c r="F49" s="24" t="s">
        <v>41</v>
      </c>
    </row>
    <row r="50" spans="3:6" ht="15.6" thickTop="1" thickBot="1" x14ac:dyDescent="0.35">
      <c r="C50" s="25">
        <f>C44</f>
        <v>0.32634673252359381</v>
      </c>
      <c r="D50" s="25">
        <f t="shared" ref="D50:F50" si="6">D44</f>
        <v>0.21872627550869622</v>
      </c>
      <c r="E50" s="25">
        <f t="shared" si="6"/>
        <v>0</v>
      </c>
      <c r="F50" s="25">
        <f t="shared" si="6"/>
        <v>0.45492699435535744</v>
      </c>
    </row>
    <row r="51" spans="3:6" ht="15" thickTop="1" x14ac:dyDescent="0.3"/>
  </sheetData>
  <mergeCells count="16">
    <mergeCell ref="L7:O7"/>
    <mergeCell ref="V3:V4"/>
    <mergeCell ref="R3:R4"/>
    <mergeCell ref="S3:S4"/>
    <mergeCell ref="T3:T4"/>
    <mergeCell ref="U3:U4"/>
    <mergeCell ref="B9:C9"/>
    <mergeCell ref="L2:O2"/>
    <mergeCell ref="B2:C3"/>
    <mergeCell ref="B4:C4"/>
    <mergeCell ref="B5:C5"/>
    <mergeCell ref="D2:G2"/>
    <mergeCell ref="H2:K2"/>
    <mergeCell ref="B7:C8"/>
    <mergeCell ref="D7:G7"/>
    <mergeCell ref="H7:K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Артем Харкевич</cp:lastModifiedBy>
  <dcterms:created xsi:type="dcterms:W3CDTF">2025-03-09T18:59:46Z</dcterms:created>
  <dcterms:modified xsi:type="dcterms:W3CDTF">2025-03-12T13:46:57Z</dcterms:modified>
</cp:coreProperties>
</file>